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C Pre-Post N=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;-0.0;0.0"/>
    <numFmt numFmtId="166" formatCode="+0.00;-0.00;0.00"/>
    <numFmt numFmtId="167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EAEEF7"/>
        <bgColor rgb="00EAEEF7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3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right" vertical="center"/>
    </xf>
    <xf numFmtId="164" fontId="0" fillId="4" borderId="2" applyAlignment="1" pivotButton="0" quotePrefix="0" xfId="0">
      <alignment horizontal="right" vertical="center"/>
    </xf>
    <xf numFmtId="2" fontId="4" fillId="4" borderId="2" applyAlignment="1" pivotButton="0" quotePrefix="0" xfId="0">
      <alignment horizontal="right" vertical="center"/>
    </xf>
    <xf numFmtId="167" fontId="4" fillId="4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0" fillId="5" borderId="3" pivotButton="0" quotePrefix="0" xfId="0"/>
    <xf numFmtId="2" fontId="4" fillId="5" borderId="3" applyAlignment="1" pivotButton="0" quotePrefix="0" xfId="0">
      <alignment horizontal="right" vertical="center"/>
    </xf>
    <xf numFmtId="3" fontId="4" fillId="5" borderId="3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5" borderId="2" pivotButton="0" quotePrefix="0" xfId="0"/>
    <xf numFmtId="2" fontId="4" fillId="5" borderId="2" applyAlignment="1" pivotButton="0" quotePrefix="0" xfId="0">
      <alignment horizontal="right" vertical="center"/>
    </xf>
    <xf numFmtId="0" fontId="4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2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8" customWidth="1" min="5" max="5"/>
    <col width="10" customWidth="1" min="6" max="6"/>
    <col width="8" customWidth="1" min="7" max="7"/>
    <col width="20" customWidth="1" min="8" max="8"/>
    <col width="19" customWidth="1" min="9" max="9"/>
    <col width="25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28" customWidth="1" min="24" max="24"/>
    <col width="28" customWidth="1" min="25" max="25"/>
    <col width="21" customWidth="1" min="26" max="26"/>
    <col width="21" customWidth="1" min="27" max="27"/>
  </cols>
  <sheetData>
    <row r="1">
      <c r="A1" s="1" t="inlineStr">
        <is>
          <t>COGNICORE: FOCUS GROUP COGNITIVE CALIBRATION &amp; LONGITUDINAL PRE/POST-TEST TELEMETRY (N=20)</t>
        </is>
      </c>
    </row>
    <row r="2">
      <c r="A2" s="2" t="inlineStr">
        <is>
          <t>Purposive Sub-Sample Drawn from Screened Survey Respondents (N=100) | Anonymized to First Names Only (UPHSD Research Ethics Standard)</t>
        </is>
      </c>
    </row>
    <row r="3"/>
    <row r="4" ht="28" customHeight="1">
      <c r="A4" s="3" t="inlineStr">
        <is>
          <t>Participant Code</t>
        </is>
      </c>
      <c r="B4" s="3" t="inlineStr">
        <is>
          <t>Survey Respondent ID</t>
        </is>
      </c>
      <c r="C4" s="3" t="inlineStr">
        <is>
          <t>Player Handle</t>
        </is>
      </c>
      <c r="D4" s="3" t="inlineStr">
        <is>
          <t>First Name</t>
        </is>
      </c>
      <c r="E4" s="3" t="inlineStr">
        <is>
          <t>Program</t>
        </is>
      </c>
      <c r="F4" s="3" t="inlineStr">
        <is>
          <t>Sex</t>
        </is>
      </c>
      <c r="G4" s="3" t="inlineStr">
        <is>
          <t>Age</t>
        </is>
      </c>
      <c r="H4" s="3" t="inlineStr">
        <is>
          <t>Cognitive Archetype</t>
        </is>
      </c>
      <c r="I4" s="3" t="inlineStr">
        <is>
          <t>Total XP</t>
        </is>
      </c>
      <c r="J4" s="3" t="inlineStr">
        <is>
          <t>Level</t>
        </is>
      </c>
      <c r="K4" s="3" t="inlineStr">
        <is>
          <t>Coins</t>
        </is>
      </c>
      <c r="L4" s="3" t="inlineStr">
        <is>
          <t>Pre Spatial</t>
        </is>
      </c>
      <c r="M4" s="3" t="inlineStr">
        <is>
          <t>Post Spatial</t>
        </is>
      </c>
      <c r="N4" s="3" t="inlineStr">
        <is>
          <t>Delta Spatial</t>
        </is>
      </c>
      <c r="O4" s="3" t="inlineStr">
        <is>
          <t>Pre Logical</t>
        </is>
      </c>
      <c r="P4" s="3" t="inlineStr">
        <is>
          <t>Post Logical</t>
        </is>
      </c>
      <c r="Q4" s="3" t="inlineStr">
        <is>
          <t>Delta Logical</t>
        </is>
      </c>
      <c r="R4" s="3" t="inlineStr">
        <is>
          <t>Pre Attention</t>
        </is>
      </c>
      <c r="S4" s="3" t="inlineStr">
        <is>
          <t>Post Attention</t>
        </is>
      </c>
      <c r="T4" s="3" t="inlineStr">
        <is>
          <t>Delta Attention</t>
        </is>
      </c>
      <c r="U4" s="3" t="inlineStr">
        <is>
          <t>Pre Executive</t>
        </is>
      </c>
      <c r="V4" s="3" t="inlineStr">
        <is>
          <t>Post Executive</t>
        </is>
      </c>
      <c r="W4" s="3" t="inlineStr">
        <is>
          <t>Delta Executive</t>
        </is>
      </c>
      <c r="X4" s="3" t="inlineStr">
        <is>
          <t>Pre Domain Mean</t>
        </is>
      </c>
      <c r="Y4" s="3" t="inlineStr">
        <is>
          <t>Post Domain Mean</t>
        </is>
      </c>
      <c r="Z4" s="3" t="inlineStr">
        <is>
          <t>Overall Gain Delta</t>
        </is>
      </c>
      <c r="AA4" s="3" t="inlineStr">
        <is>
          <t>Improvement %</t>
        </is>
      </c>
    </row>
    <row r="5" ht="20" customHeight="1">
      <c r="A5" s="4" t="inlineStr">
        <is>
          <t>FG-01</t>
        </is>
      </c>
      <c r="B5" s="5" t="inlineStr">
        <is>
          <t>RESP-003</t>
        </is>
      </c>
      <c r="C5" s="6" t="inlineStr">
        <is>
          <t>FG01_Vince</t>
        </is>
      </c>
      <c r="D5" s="6" t="inlineStr">
        <is>
          <t>Vince</t>
        </is>
      </c>
      <c r="E5" s="6" t="inlineStr">
        <is>
          <t>BS Information Technology</t>
        </is>
      </c>
      <c r="F5" s="4" t="inlineStr">
        <is>
          <t>Male</t>
        </is>
      </c>
      <c r="G5" s="4" t="n">
        <v>21</v>
      </c>
      <c r="H5" s="6" t="inlineStr">
        <is>
          <t>Fast Learner</t>
        </is>
      </c>
      <c r="I5" s="7" t="n">
        <v>3150</v>
      </c>
      <c r="J5" s="4" t="n">
        <v>7</v>
      </c>
      <c r="K5" s="7" t="n">
        <v>5400</v>
      </c>
      <c r="L5" s="8" t="n">
        <v>40.2</v>
      </c>
      <c r="M5" s="8" t="n">
        <v>60.3</v>
      </c>
      <c r="N5" s="9">
        <f>M5-L5</f>
        <v/>
      </c>
      <c r="O5" s="8" t="n">
        <v>55</v>
      </c>
      <c r="P5" s="8" t="n">
        <v>78.09999999999999</v>
      </c>
      <c r="Q5" s="9">
        <f>P5-O5</f>
        <v/>
      </c>
      <c r="R5" s="8" t="n">
        <v>56.6</v>
      </c>
      <c r="S5" s="8" t="n">
        <v>75.5</v>
      </c>
      <c r="T5" s="9">
        <f>S5-R5</f>
        <v/>
      </c>
      <c r="U5" s="8" t="n">
        <v>48.6</v>
      </c>
      <c r="V5" s="8" t="n">
        <v>70.09999999999999</v>
      </c>
      <c r="W5" s="9">
        <f>V5-U5</f>
        <v/>
      </c>
      <c r="X5" s="10">
        <f>AVERAGE(L5,O5,R5,U5)</f>
        <v/>
      </c>
      <c r="Y5" s="10">
        <f>AVERAGE(M5,P5,S5,V5)</f>
        <v/>
      </c>
      <c r="Z5" s="11">
        <f>Y5-X5</f>
        <v/>
      </c>
      <c r="AA5" s="12">
        <f>(Z5/X5)*100</f>
        <v/>
      </c>
    </row>
    <row r="6" ht="20" customHeight="1">
      <c r="A6" s="13" t="inlineStr">
        <is>
          <t>FG-02</t>
        </is>
      </c>
      <c r="B6" s="14" t="inlineStr">
        <is>
          <t>RESP-009</t>
        </is>
      </c>
      <c r="C6" s="15" t="inlineStr">
        <is>
          <t>FG02_Brian</t>
        </is>
      </c>
      <c r="D6" s="15" t="inlineStr">
        <is>
          <t>Brian</t>
        </is>
      </c>
      <c r="E6" s="15" t="inlineStr">
        <is>
          <t>BS Information Technology</t>
        </is>
      </c>
      <c r="F6" s="13" t="inlineStr">
        <is>
          <t>Male</t>
        </is>
      </c>
      <c r="G6" s="13" t="n">
        <v>21</v>
      </c>
      <c r="H6" s="15" t="inlineStr">
        <is>
          <t>Fast Learner</t>
        </is>
      </c>
      <c r="I6" s="16" t="n">
        <v>2850</v>
      </c>
      <c r="J6" s="13" t="n">
        <v>6</v>
      </c>
      <c r="K6" s="16" t="n">
        <v>4900</v>
      </c>
      <c r="L6" s="17" t="n">
        <v>40.1</v>
      </c>
      <c r="M6" s="17" t="n">
        <v>64.2</v>
      </c>
      <c r="N6" s="9">
        <f>M6-L6</f>
        <v/>
      </c>
      <c r="O6" s="17" t="n">
        <v>55</v>
      </c>
      <c r="P6" s="17" t="n">
        <v>77.09999999999999</v>
      </c>
      <c r="Q6" s="9">
        <f>P6-O6</f>
        <v/>
      </c>
      <c r="R6" s="17" t="n">
        <v>57.2</v>
      </c>
      <c r="S6" s="17" t="n">
        <v>76.09999999999999</v>
      </c>
      <c r="T6" s="9">
        <f>S6-R6</f>
        <v/>
      </c>
      <c r="U6" s="17" t="n">
        <v>55.6</v>
      </c>
      <c r="V6" s="17" t="n">
        <v>78.59999999999999</v>
      </c>
      <c r="W6" s="9">
        <f>V6-U6</f>
        <v/>
      </c>
      <c r="X6" s="18">
        <f>AVERAGE(L6,O6,R6,U6)</f>
        <v/>
      </c>
      <c r="Y6" s="18">
        <f>AVERAGE(M6,P6,S6,V6)</f>
        <v/>
      </c>
      <c r="Z6" s="11">
        <f>Y6-X6</f>
        <v/>
      </c>
      <c r="AA6" s="19">
        <f>(Z6/X6)*100</f>
        <v/>
      </c>
    </row>
    <row r="7" ht="20" customHeight="1">
      <c r="A7" s="4" t="inlineStr">
        <is>
          <t>FG-03</t>
        </is>
      </c>
      <c r="B7" s="5" t="inlineStr">
        <is>
          <t>RESP-011</t>
        </is>
      </c>
      <c r="C7" s="6" t="inlineStr">
        <is>
          <t>FG03_Andrea</t>
        </is>
      </c>
      <c r="D7" s="6" t="inlineStr">
        <is>
          <t>Andrea</t>
        </is>
      </c>
      <c r="E7" s="6" t="inlineStr">
        <is>
          <t>BS Information Technology</t>
        </is>
      </c>
      <c r="F7" s="4" t="inlineStr">
        <is>
          <t>Female</t>
        </is>
      </c>
      <c r="G7" s="4" t="n">
        <v>23</v>
      </c>
      <c r="H7" s="6" t="inlineStr">
        <is>
          <t>Steady Improver</t>
        </is>
      </c>
      <c r="I7" s="7" t="n">
        <v>2400</v>
      </c>
      <c r="J7" s="4" t="n">
        <v>5</v>
      </c>
      <c r="K7" s="7" t="n">
        <v>4100</v>
      </c>
      <c r="L7" s="8" t="n">
        <v>51</v>
      </c>
      <c r="M7" s="8" t="n">
        <v>68.2</v>
      </c>
      <c r="N7" s="9">
        <f>M7-L7</f>
        <v/>
      </c>
      <c r="O7" s="8" t="n">
        <v>44.8</v>
      </c>
      <c r="P7" s="8" t="n">
        <v>60</v>
      </c>
      <c r="Q7" s="9">
        <f>P7-O7</f>
        <v/>
      </c>
      <c r="R7" s="8" t="n">
        <v>58</v>
      </c>
      <c r="S7" s="8" t="n">
        <v>69</v>
      </c>
      <c r="T7" s="9">
        <f>S7-R7</f>
        <v/>
      </c>
      <c r="U7" s="8" t="n">
        <v>48.6</v>
      </c>
      <c r="V7" s="8" t="n">
        <v>62.2</v>
      </c>
      <c r="W7" s="9">
        <f>V7-U7</f>
        <v/>
      </c>
      <c r="X7" s="10">
        <f>AVERAGE(L7,O7,R7,U7)</f>
        <v/>
      </c>
      <c r="Y7" s="10">
        <f>AVERAGE(M7,P7,S7,V7)</f>
        <v/>
      </c>
      <c r="Z7" s="11">
        <f>Y7-X7</f>
        <v/>
      </c>
      <c r="AA7" s="12">
        <f>(Z7/X7)*100</f>
        <v/>
      </c>
    </row>
    <row r="8" ht="20" customHeight="1">
      <c r="A8" s="13" t="inlineStr">
        <is>
          <t>FG-04</t>
        </is>
      </c>
      <c r="B8" s="14" t="inlineStr">
        <is>
          <t>RESP-012</t>
        </is>
      </c>
      <c r="C8" s="15" t="inlineStr">
        <is>
          <t>FG04_Christian</t>
        </is>
      </c>
      <c r="D8" s="15" t="inlineStr">
        <is>
          <t>Christian</t>
        </is>
      </c>
      <c r="E8" s="15" t="inlineStr">
        <is>
          <t>BS Information Technology</t>
        </is>
      </c>
      <c r="F8" s="13" t="inlineStr">
        <is>
          <t>Male</t>
        </is>
      </c>
      <c r="G8" s="13" t="n">
        <v>22</v>
      </c>
      <c r="H8" s="15" t="inlineStr">
        <is>
          <t>Steady Improver</t>
        </is>
      </c>
      <c r="I8" s="16" t="n">
        <v>2250</v>
      </c>
      <c r="J8" s="13" t="n">
        <v>5</v>
      </c>
      <c r="K8" s="16" t="n">
        <v>3850</v>
      </c>
      <c r="L8" s="17" t="n">
        <v>42</v>
      </c>
      <c r="M8" s="17" t="n">
        <v>54.9</v>
      </c>
      <c r="N8" s="9">
        <f>M8-L8</f>
        <v/>
      </c>
      <c r="O8" s="17" t="n">
        <v>48.5</v>
      </c>
      <c r="P8" s="17" t="n">
        <v>61.4</v>
      </c>
      <c r="Q8" s="9">
        <f>P8-O8</f>
        <v/>
      </c>
      <c r="R8" s="17" t="n">
        <v>61.8</v>
      </c>
      <c r="S8" s="17" t="n">
        <v>77.3</v>
      </c>
      <c r="T8" s="9">
        <f>S8-R8</f>
        <v/>
      </c>
      <c r="U8" s="17" t="n">
        <v>52.9</v>
      </c>
      <c r="V8" s="17" t="n">
        <v>64.5</v>
      </c>
      <c r="W8" s="9">
        <f>V8-U8</f>
        <v/>
      </c>
      <c r="X8" s="18">
        <f>AVERAGE(L8,O8,R8,U8)</f>
        <v/>
      </c>
      <c r="Y8" s="18">
        <f>AVERAGE(M8,P8,S8,V8)</f>
        <v/>
      </c>
      <c r="Z8" s="11">
        <f>Y8-X8</f>
        <v/>
      </c>
      <c r="AA8" s="19">
        <f>(Z8/X8)*100</f>
        <v/>
      </c>
    </row>
    <row r="9" ht="20" customHeight="1">
      <c r="A9" s="4" t="inlineStr">
        <is>
          <t>FG-05</t>
        </is>
      </c>
      <c r="B9" s="5" t="inlineStr">
        <is>
          <t>RESP-014</t>
        </is>
      </c>
      <c r="C9" s="6" t="inlineStr">
        <is>
          <t>FG05_Karel</t>
        </is>
      </c>
      <c r="D9" s="6" t="inlineStr">
        <is>
          <t>Karel</t>
        </is>
      </c>
      <c r="E9" s="6" t="inlineStr">
        <is>
          <t>BS Information Technology</t>
        </is>
      </c>
      <c r="F9" s="4" t="inlineStr">
        <is>
          <t>Male</t>
        </is>
      </c>
      <c r="G9" s="4" t="n">
        <v>21</v>
      </c>
      <c r="H9" s="6" t="inlineStr">
        <is>
          <t>Steady Improver</t>
        </is>
      </c>
      <c r="I9" s="7" t="n">
        <v>2100</v>
      </c>
      <c r="J9" s="4" t="n">
        <v>5</v>
      </c>
      <c r="K9" s="7" t="n">
        <v>3600</v>
      </c>
      <c r="L9" s="8" t="n">
        <v>54.7</v>
      </c>
      <c r="M9" s="8" t="n">
        <v>71</v>
      </c>
      <c r="N9" s="9">
        <f>M9-L9</f>
        <v/>
      </c>
      <c r="O9" s="8" t="n">
        <v>59.6</v>
      </c>
      <c r="P9" s="8" t="n">
        <v>78.2</v>
      </c>
      <c r="Q9" s="9">
        <f>P9-O9</f>
        <v/>
      </c>
      <c r="R9" s="8" t="n">
        <v>54.1</v>
      </c>
      <c r="S9" s="8" t="n">
        <v>66.40000000000001</v>
      </c>
      <c r="T9" s="9">
        <f>S9-R9</f>
        <v/>
      </c>
      <c r="U9" s="8" t="n">
        <v>42</v>
      </c>
      <c r="V9" s="8" t="n">
        <v>57.2</v>
      </c>
      <c r="W9" s="9">
        <f>V9-U9</f>
        <v/>
      </c>
      <c r="X9" s="10">
        <f>AVERAGE(L9,O9,R9,U9)</f>
        <v/>
      </c>
      <c r="Y9" s="10">
        <f>AVERAGE(M9,P9,S9,V9)</f>
        <v/>
      </c>
      <c r="Z9" s="11">
        <f>Y9-X9</f>
        <v/>
      </c>
      <c r="AA9" s="12">
        <f>(Z9/X9)*100</f>
        <v/>
      </c>
    </row>
    <row r="10" ht="20" customHeight="1">
      <c r="A10" s="13" t="inlineStr">
        <is>
          <t>FG-06</t>
        </is>
      </c>
      <c r="B10" s="14" t="inlineStr">
        <is>
          <t>RESP-018</t>
        </is>
      </c>
      <c r="C10" s="15" t="inlineStr">
        <is>
          <t>FG06_James</t>
        </is>
      </c>
      <c r="D10" s="15" t="inlineStr">
        <is>
          <t>James</t>
        </is>
      </c>
      <c r="E10" s="15" t="inlineStr">
        <is>
          <t>BS Information Technology</t>
        </is>
      </c>
      <c r="F10" s="13" t="inlineStr">
        <is>
          <t>Male</t>
        </is>
      </c>
      <c r="G10" s="13" t="n">
        <v>21</v>
      </c>
      <c r="H10" s="15" t="inlineStr">
        <is>
          <t>Fast Learner</t>
        </is>
      </c>
      <c r="I10" s="16" t="n">
        <v>2700</v>
      </c>
      <c r="J10" s="13" t="n">
        <v>6</v>
      </c>
      <c r="K10" s="16" t="n">
        <v>4600</v>
      </c>
      <c r="L10" s="17" t="n">
        <v>57.4</v>
      </c>
      <c r="M10" s="17" t="n">
        <v>81.09999999999999</v>
      </c>
      <c r="N10" s="9">
        <f>M10-L10</f>
        <v/>
      </c>
      <c r="O10" s="17" t="n">
        <v>58.7</v>
      </c>
      <c r="P10" s="17" t="n">
        <v>79.90000000000001</v>
      </c>
      <c r="Q10" s="9">
        <f>P10-O10</f>
        <v/>
      </c>
      <c r="R10" s="17" t="n">
        <v>57.8</v>
      </c>
      <c r="S10" s="17" t="n">
        <v>81.2</v>
      </c>
      <c r="T10" s="9">
        <f>S10-R10</f>
        <v/>
      </c>
      <c r="U10" s="17" t="n">
        <v>51</v>
      </c>
      <c r="V10" s="17" t="n">
        <v>72</v>
      </c>
      <c r="W10" s="9">
        <f>V10-U10</f>
        <v/>
      </c>
      <c r="X10" s="18">
        <f>AVERAGE(L10,O10,R10,U10)</f>
        <v/>
      </c>
      <c r="Y10" s="18">
        <f>AVERAGE(M10,P10,S10,V10)</f>
        <v/>
      </c>
      <c r="Z10" s="11">
        <f>Y10-X10</f>
        <v/>
      </c>
      <c r="AA10" s="19">
        <f>(Z10/X10)*100</f>
        <v/>
      </c>
    </row>
    <row r="11" ht="20" customHeight="1">
      <c r="A11" s="4" t="inlineStr">
        <is>
          <t>FG-07</t>
        </is>
      </c>
      <c r="B11" s="5" t="inlineStr">
        <is>
          <t>RESP-021</t>
        </is>
      </c>
      <c r="C11" s="6" t="inlineStr">
        <is>
          <t>FG07_Noreen</t>
        </is>
      </c>
      <c r="D11" s="6" t="inlineStr">
        <is>
          <t>Noreen</t>
        </is>
      </c>
      <c r="E11" s="6" t="inlineStr">
        <is>
          <t>BS Information Technology</t>
        </is>
      </c>
      <c r="F11" s="4" t="inlineStr">
        <is>
          <t>Female</t>
        </is>
      </c>
      <c r="G11" s="4" t="n">
        <v>21</v>
      </c>
      <c r="H11" s="6" t="inlineStr">
        <is>
          <t>Steady Improver</t>
        </is>
      </c>
      <c r="I11" s="7" t="n">
        <v>2550</v>
      </c>
      <c r="J11" s="4" t="n">
        <v>6</v>
      </c>
      <c r="K11" s="7" t="n">
        <v>4300</v>
      </c>
      <c r="L11" s="8" t="n">
        <v>48.1</v>
      </c>
      <c r="M11" s="8" t="n">
        <v>63.5</v>
      </c>
      <c r="N11" s="9">
        <f>M11-L11</f>
        <v/>
      </c>
      <c r="O11" s="8" t="n">
        <v>46.5</v>
      </c>
      <c r="P11" s="8" t="n">
        <v>62.2</v>
      </c>
      <c r="Q11" s="9">
        <f>P11-O11</f>
        <v/>
      </c>
      <c r="R11" s="8" t="n">
        <v>46.1</v>
      </c>
      <c r="S11" s="8" t="n">
        <v>57.2</v>
      </c>
      <c r="T11" s="9">
        <f>S11-R11</f>
        <v/>
      </c>
      <c r="U11" s="8" t="n">
        <v>40.3</v>
      </c>
      <c r="V11" s="8" t="n">
        <v>57</v>
      </c>
      <c r="W11" s="9">
        <f>V11-U11</f>
        <v/>
      </c>
      <c r="X11" s="10">
        <f>AVERAGE(L11,O11,R11,U11)</f>
        <v/>
      </c>
      <c r="Y11" s="10">
        <f>AVERAGE(M11,P11,S11,V11)</f>
        <v/>
      </c>
      <c r="Z11" s="11">
        <f>Y11-X11</f>
        <v/>
      </c>
      <c r="AA11" s="12">
        <f>(Z11/X11)*100</f>
        <v/>
      </c>
    </row>
    <row r="12" ht="20" customHeight="1">
      <c r="A12" s="13" t="inlineStr">
        <is>
          <t>FG-08</t>
        </is>
      </c>
      <c r="B12" s="14" t="inlineStr">
        <is>
          <t>RESP-034</t>
        </is>
      </c>
      <c r="C12" s="15" t="inlineStr">
        <is>
          <t>FG08_Benedict</t>
        </is>
      </c>
      <c r="D12" s="15" t="inlineStr">
        <is>
          <t>Benedict</t>
        </is>
      </c>
      <c r="E12" s="15" t="inlineStr">
        <is>
          <t>BS Information Technology</t>
        </is>
      </c>
      <c r="F12" s="13" t="inlineStr">
        <is>
          <t>Male</t>
        </is>
      </c>
      <c r="G12" s="13" t="n">
        <v>21</v>
      </c>
      <c r="H12" s="15" t="inlineStr">
        <is>
          <t>Fast Learner</t>
        </is>
      </c>
      <c r="I12" s="16" t="n">
        <v>2950</v>
      </c>
      <c r="J12" s="13" t="n">
        <v>6</v>
      </c>
      <c r="K12" s="16" t="n">
        <v>5100</v>
      </c>
      <c r="L12" s="17" t="n">
        <v>44.1</v>
      </c>
      <c r="M12" s="17" t="n">
        <v>64</v>
      </c>
      <c r="N12" s="9">
        <f>M12-L12</f>
        <v/>
      </c>
      <c r="O12" s="17" t="n">
        <v>58.3</v>
      </c>
      <c r="P12" s="17" t="n">
        <v>81.7</v>
      </c>
      <c r="Q12" s="9">
        <f>P12-O12</f>
        <v/>
      </c>
      <c r="R12" s="17" t="n">
        <v>59.6</v>
      </c>
      <c r="S12" s="17" t="n">
        <v>79.3</v>
      </c>
      <c r="T12" s="9">
        <f>S12-R12</f>
        <v/>
      </c>
      <c r="U12" s="17" t="n">
        <v>41.1</v>
      </c>
      <c r="V12" s="17" t="n">
        <v>60.2</v>
      </c>
      <c r="W12" s="9">
        <f>V12-U12</f>
        <v/>
      </c>
      <c r="X12" s="18">
        <f>AVERAGE(L12,O12,R12,U12)</f>
        <v/>
      </c>
      <c r="Y12" s="18">
        <f>AVERAGE(M12,P12,S12,V12)</f>
        <v/>
      </c>
      <c r="Z12" s="11">
        <f>Y12-X12</f>
        <v/>
      </c>
      <c r="AA12" s="19">
        <f>(Z12/X12)*100</f>
        <v/>
      </c>
    </row>
    <row r="13" ht="20" customHeight="1">
      <c r="A13" s="4" t="inlineStr">
        <is>
          <t>FG-09</t>
        </is>
      </c>
      <c r="B13" s="5" t="inlineStr">
        <is>
          <t>RESP-035</t>
        </is>
      </c>
      <c r="C13" s="6" t="inlineStr">
        <is>
          <t>FG09_Harvee</t>
        </is>
      </c>
      <c r="D13" s="6" t="inlineStr">
        <is>
          <t>Harvee</t>
        </is>
      </c>
      <c r="E13" s="6" t="inlineStr">
        <is>
          <t>BS Computer Science</t>
        </is>
      </c>
      <c r="F13" s="4" t="inlineStr">
        <is>
          <t>Male</t>
        </is>
      </c>
      <c r="G13" s="4" t="n">
        <v>24</v>
      </c>
      <c r="H13" s="6" t="inlineStr">
        <is>
          <t>Steady Improver</t>
        </is>
      </c>
      <c r="I13" s="7" t="n">
        <v>2150</v>
      </c>
      <c r="J13" s="4" t="n">
        <v>5</v>
      </c>
      <c r="K13" s="7" t="n">
        <v>3700</v>
      </c>
      <c r="L13" s="8" t="n">
        <v>44.4</v>
      </c>
      <c r="M13" s="8" t="n">
        <v>60.7</v>
      </c>
      <c r="N13" s="9">
        <f>M13-L13</f>
        <v/>
      </c>
      <c r="O13" s="8" t="n">
        <v>50.5</v>
      </c>
      <c r="P13" s="8" t="n">
        <v>64.3</v>
      </c>
      <c r="Q13" s="9">
        <f>P13-O13</f>
        <v/>
      </c>
      <c r="R13" s="8" t="n">
        <v>51.9</v>
      </c>
      <c r="S13" s="8" t="n">
        <v>66.2</v>
      </c>
      <c r="T13" s="9">
        <f>S13-R13</f>
        <v/>
      </c>
      <c r="U13" s="8" t="n">
        <v>41.5</v>
      </c>
      <c r="V13" s="8" t="n">
        <v>59.4</v>
      </c>
      <c r="W13" s="9">
        <f>V13-U13</f>
        <v/>
      </c>
      <c r="X13" s="10">
        <f>AVERAGE(L13,O13,R13,U13)</f>
        <v/>
      </c>
      <c r="Y13" s="10">
        <f>AVERAGE(M13,P13,S13,V13)</f>
        <v/>
      </c>
      <c r="Z13" s="11">
        <f>Y13-X13</f>
        <v/>
      </c>
      <c r="AA13" s="12">
        <f>(Z13/X13)*100</f>
        <v/>
      </c>
    </row>
    <row r="14" ht="20" customHeight="1">
      <c r="A14" s="13" t="inlineStr">
        <is>
          <t>FG-10</t>
        </is>
      </c>
      <c r="B14" s="14" t="inlineStr">
        <is>
          <t>RESP-039</t>
        </is>
      </c>
      <c r="C14" s="15" t="inlineStr">
        <is>
          <t>FG10_Hanz</t>
        </is>
      </c>
      <c r="D14" s="15" t="inlineStr">
        <is>
          <t>Hanz</t>
        </is>
      </c>
      <c r="E14" s="15" t="inlineStr">
        <is>
          <t>BS Computer Science</t>
        </is>
      </c>
      <c r="F14" s="13" t="inlineStr">
        <is>
          <t>Male</t>
        </is>
      </c>
      <c r="G14" s="13" t="n">
        <v>22</v>
      </c>
      <c r="H14" s="15" t="inlineStr">
        <is>
          <t>Fast Learner</t>
        </is>
      </c>
      <c r="I14" s="16" t="n">
        <v>3300</v>
      </c>
      <c r="J14" s="13" t="n">
        <v>7</v>
      </c>
      <c r="K14" s="16" t="n">
        <v>5600</v>
      </c>
      <c r="L14" s="17" t="n">
        <v>52.1</v>
      </c>
      <c r="M14" s="17" t="n">
        <v>72.8</v>
      </c>
      <c r="N14" s="9">
        <f>M14-L14</f>
        <v/>
      </c>
      <c r="O14" s="17" t="n">
        <v>59.7</v>
      </c>
      <c r="P14" s="17" t="n">
        <v>84.59999999999999</v>
      </c>
      <c r="Q14" s="9">
        <f>P14-O14</f>
        <v/>
      </c>
      <c r="R14" s="17" t="n">
        <v>46.7</v>
      </c>
      <c r="S14" s="17" t="n">
        <v>66.7</v>
      </c>
      <c r="T14" s="9">
        <f>S14-R14</f>
        <v/>
      </c>
      <c r="U14" s="17" t="n">
        <v>46.4</v>
      </c>
      <c r="V14" s="17" t="n">
        <v>65.90000000000001</v>
      </c>
      <c r="W14" s="9">
        <f>V14-U14</f>
        <v/>
      </c>
      <c r="X14" s="18">
        <f>AVERAGE(L14,O14,R14,U14)</f>
        <v/>
      </c>
      <c r="Y14" s="18">
        <f>AVERAGE(M14,P14,S14,V14)</f>
        <v/>
      </c>
      <c r="Z14" s="11">
        <f>Y14-X14</f>
        <v/>
      </c>
      <c r="AA14" s="19">
        <f>(Z14/X14)*100</f>
        <v/>
      </c>
    </row>
    <row r="15" ht="20" customHeight="1">
      <c r="A15" s="4" t="inlineStr">
        <is>
          <t>FG-11</t>
        </is>
      </c>
      <c r="B15" s="5" t="inlineStr">
        <is>
          <t>RESP-040</t>
        </is>
      </c>
      <c r="C15" s="6" t="inlineStr">
        <is>
          <t>FG11_Ken</t>
        </is>
      </c>
      <c r="D15" s="6" t="inlineStr">
        <is>
          <t>Ken</t>
        </is>
      </c>
      <c r="E15" s="6" t="inlineStr">
        <is>
          <t>BS Computer Science</t>
        </is>
      </c>
      <c r="F15" s="4" t="inlineStr">
        <is>
          <t>Male</t>
        </is>
      </c>
      <c r="G15" s="4" t="n">
        <v>23</v>
      </c>
      <c r="H15" s="6" t="inlineStr">
        <is>
          <t>Steady Improver</t>
        </is>
      </c>
      <c r="I15" s="7" t="n">
        <v>1850</v>
      </c>
      <c r="J15" s="4" t="n">
        <v>4</v>
      </c>
      <c r="K15" s="7" t="n">
        <v>3200</v>
      </c>
      <c r="L15" s="8" t="n">
        <v>42.5</v>
      </c>
      <c r="M15" s="8" t="n">
        <v>54.1</v>
      </c>
      <c r="N15" s="9">
        <f>M15-L15</f>
        <v/>
      </c>
      <c r="O15" s="8" t="n">
        <v>45.3</v>
      </c>
      <c r="P15" s="8" t="n">
        <v>62.8</v>
      </c>
      <c r="Q15" s="9">
        <f>P15-O15</f>
        <v/>
      </c>
      <c r="R15" s="8" t="n">
        <v>52.9</v>
      </c>
      <c r="S15" s="8" t="n">
        <v>70.7</v>
      </c>
      <c r="T15" s="9">
        <f>S15-R15</f>
        <v/>
      </c>
      <c r="U15" s="8" t="n">
        <v>54</v>
      </c>
      <c r="V15" s="8" t="n">
        <v>65.8</v>
      </c>
      <c r="W15" s="9">
        <f>V15-U15</f>
        <v/>
      </c>
      <c r="X15" s="10">
        <f>AVERAGE(L15,O15,R15,U15)</f>
        <v/>
      </c>
      <c r="Y15" s="10">
        <f>AVERAGE(M15,P15,S15,V15)</f>
        <v/>
      </c>
      <c r="Z15" s="11">
        <f>Y15-X15</f>
        <v/>
      </c>
      <c r="AA15" s="12">
        <f>(Z15/X15)*100</f>
        <v/>
      </c>
    </row>
    <row r="16" ht="20" customHeight="1">
      <c r="A16" s="13" t="inlineStr">
        <is>
          <t>FG-12</t>
        </is>
      </c>
      <c r="B16" s="14" t="inlineStr">
        <is>
          <t>RESP-043</t>
        </is>
      </c>
      <c r="C16" s="15" t="inlineStr">
        <is>
          <t>FG12_Kaliel</t>
        </is>
      </c>
      <c r="D16" s="15" t="inlineStr">
        <is>
          <t>Kaliel</t>
        </is>
      </c>
      <c r="E16" s="15" t="inlineStr">
        <is>
          <t>BS Computer Science</t>
        </is>
      </c>
      <c r="F16" s="13" t="inlineStr">
        <is>
          <t>Male</t>
        </is>
      </c>
      <c r="G16" s="13" t="n">
        <v>20</v>
      </c>
      <c r="H16" s="15" t="inlineStr">
        <is>
          <t>Fast Learner</t>
        </is>
      </c>
      <c r="I16" s="16" t="n">
        <v>2800</v>
      </c>
      <c r="J16" s="13" t="n">
        <v>6</v>
      </c>
      <c r="K16" s="16" t="n">
        <v>4750</v>
      </c>
      <c r="L16" s="17" t="n">
        <v>57.4</v>
      </c>
      <c r="M16" s="17" t="n">
        <v>79.3</v>
      </c>
      <c r="N16" s="9">
        <f>M16-L16</f>
        <v/>
      </c>
      <c r="O16" s="17" t="n">
        <v>58.7</v>
      </c>
      <c r="P16" s="17" t="n">
        <v>78.40000000000001</v>
      </c>
      <c r="Q16" s="9">
        <f>P16-O16</f>
        <v/>
      </c>
      <c r="R16" s="17" t="n">
        <v>59.4</v>
      </c>
      <c r="S16" s="17" t="n">
        <v>80.59999999999999</v>
      </c>
      <c r="T16" s="9">
        <f>S16-R16</f>
        <v/>
      </c>
      <c r="U16" s="17" t="n">
        <v>42.7</v>
      </c>
      <c r="V16" s="17" t="n">
        <v>61.2</v>
      </c>
      <c r="W16" s="9">
        <f>V16-U16</f>
        <v/>
      </c>
      <c r="X16" s="18">
        <f>AVERAGE(L16,O16,R16,U16)</f>
        <v/>
      </c>
      <c r="Y16" s="18">
        <f>AVERAGE(M16,P16,S16,V16)</f>
        <v/>
      </c>
      <c r="Z16" s="11">
        <f>Y16-X16</f>
        <v/>
      </c>
      <c r="AA16" s="19">
        <f>(Z16/X16)*100</f>
        <v/>
      </c>
    </row>
    <row r="17" ht="20" customHeight="1">
      <c r="A17" s="4" t="inlineStr">
        <is>
          <t>FG-13</t>
        </is>
      </c>
      <c r="B17" s="5" t="inlineStr">
        <is>
          <t>RESP-045</t>
        </is>
      </c>
      <c r="C17" s="6" t="inlineStr">
        <is>
          <t>FG13_Dustin</t>
        </is>
      </c>
      <c r="D17" s="6" t="inlineStr">
        <is>
          <t>Dustin</t>
        </is>
      </c>
      <c r="E17" s="6" t="inlineStr">
        <is>
          <t>BS Computer Science</t>
        </is>
      </c>
      <c r="F17" s="4" t="inlineStr">
        <is>
          <t>Male</t>
        </is>
      </c>
      <c r="G17" s="4" t="n">
        <v>19</v>
      </c>
      <c r="H17" s="6" t="inlineStr">
        <is>
          <t>Steady Improver</t>
        </is>
      </c>
      <c r="I17" s="7" t="n">
        <v>2350</v>
      </c>
      <c r="J17" s="4" t="n">
        <v>5</v>
      </c>
      <c r="K17" s="7" t="n">
        <v>4000</v>
      </c>
      <c r="L17" s="8" t="n">
        <v>40</v>
      </c>
      <c r="M17" s="8" t="n">
        <v>53.3</v>
      </c>
      <c r="N17" s="9">
        <f>M17-L17</f>
        <v/>
      </c>
      <c r="O17" s="8" t="n">
        <v>49</v>
      </c>
      <c r="P17" s="8" t="n">
        <v>65.59999999999999</v>
      </c>
      <c r="Q17" s="9">
        <f>P17-O17</f>
        <v/>
      </c>
      <c r="R17" s="8" t="n">
        <v>60.8</v>
      </c>
      <c r="S17" s="8" t="n">
        <v>77.59999999999999</v>
      </c>
      <c r="T17" s="9">
        <f>S17-R17</f>
        <v/>
      </c>
      <c r="U17" s="8" t="n">
        <v>52.6</v>
      </c>
      <c r="V17" s="8" t="n">
        <v>69.90000000000001</v>
      </c>
      <c r="W17" s="9">
        <f>V17-U17</f>
        <v/>
      </c>
      <c r="X17" s="10">
        <f>AVERAGE(L17,O17,R17,U17)</f>
        <v/>
      </c>
      <c r="Y17" s="10">
        <f>AVERAGE(M17,P17,S17,V17)</f>
        <v/>
      </c>
      <c r="Z17" s="11">
        <f>Y17-X17</f>
        <v/>
      </c>
      <c r="AA17" s="12">
        <f>(Z17/X17)*100</f>
        <v/>
      </c>
    </row>
    <row r="18" ht="20" customHeight="1">
      <c r="A18" s="13" t="inlineStr">
        <is>
          <t>FG-14</t>
        </is>
      </c>
      <c r="B18" s="14" t="inlineStr">
        <is>
          <t>RESP-048</t>
        </is>
      </c>
      <c r="C18" s="15" t="inlineStr">
        <is>
          <t>FG14_Cyrus</t>
        </is>
      </c>
      <c r="D18" s="15" t="inlineStr">
        <is>
          <t>Cyrus</t>
        </is>
      </c>
      <c r="E18" s="15" t="inlineStr">
        <is>
          <t>BS Computer Science</t>
        </is>
      </c>
      <c r="F18" s="13" t="inlineStr">
        <is>
          <t>Male</t>
        </is>
      </c>
      <c r="G18" s="13" t="n">
        <v>20</v>
      </c>
      <c r="H18" s="15" t="inlineStr">
        <is>
          <t>High Fatigue</t>
        </is>
      </c>
      <c r="I18" s="16" t="n">
        <v>1450</v>
      </c>
      <c r="J18" s="13" t="n">
        <v>3</v>
      </c>
      <c r="K18" s="16" t="n">
        <v>2500</v>
      </c>
      <c r="L18" s="17" t="n">
        <v>42.8</v>
      </c>
      <c r="M18" s="17" t="n">
        <v>51.6</v>
      </c>
      <c r="N18" s="9">
        <f>M18-L18</f>
        <v/>
      </c>
      <c r="O18" s="17" t="n">
        <v>47.3</v>
      </c>
      <c r="P18" s="17" t="n">
        <v>57.5</v>
      </c>
      <c r="Q18" s="9">
        <f>P18-O18</f>
        <v/>
      </c>
      <c r="R18" s="17" t="n">
        <v>61.5</v>
      </c>
      <c r="S18" s="17" t="n">
        <v>66.90000000000001</v>
      </c>
      <c r="T18" s="9">
        <f>S18-R18</f>
        <v/>
      </c>
      <c r="U18" s="17" t="n">
        <v>49.3</v>
      </c>
      <c r="V18" s="17" t="n">
        <v>58.4</v>
      </c>
      <c r="W18" s="9">
        <f>V18-U18</f>
        <v/>
      </c>
      <c r="X18" s="18">
        <f>AVERAGE(L18,O18,R18,U18)</f>
        <v/>
      </c>
      <c r="Y18" s="18">
        <f>AVERAGE(M18,P18,S18,V18)</f>
        <v/>
      </c>
      <c r="Z18" s="11">
        <f>Y18-X18</f>
        <v/>
      </c>
      <c r="AA18" s="19">
        <f>(Z18/X18)*100</f>
        <v/>
      </c>
    </row>
    <row r="19" ht="20" customHeight="1">
      <c r="A19" s="4" t="inlineStr">
        <is>
          <t>FG-15</t>
        </is>
      </c>
      <c r="B19" s="5" t="inlineStr">
        <is>
          <t>RESP-022</t>
        </is>
      </c>
      <c r="C19" s="6" t="inlineStr">
        <is>
          <t>FG15_Joy</t>
        </is>
      </c>
      <c r="D19" s="6" t="inlineStr">
        <is>
          <t>Joy</t>
        </is>
      </c>
      <c r="E19" s="6" t="inlineStr">
        <is>
          <t>BS Criminology</t>
        </is>
      </c>
      <c r="F19" s="4" t="inlineStr">
        <is>
          <t>Female</t>
        </is>
      </c>
      <c r="G19" s="4" t="n">
        <v>20</v>
      </c>
      <c r="H19" s="6" t="inlineStr">
        <is>
          <t>Fast Learner</t>
        </is>
      </c>
      <c r="I19" s="7" t="n">
        <v>2600</v>
      </c>
      <c r="J19" s="4" t="n">
        <v>6</v>
      </c>
      <c r="K19" s="7" t="n">
        <v>4450</v>
      </c>
      <c r="L19" s="8" t="n">
        <v>56.5</v>
      </c>
      <c r="M19" s="8" t="n">
        <v>81.3</v>
      </c>
      <c r="N19" s="9">
        <f>M19-L19</f>
        <v/>
      </c>
      <c r="O19" s="8" t="n">
        <v>51.6</v>
      </c>
      <c r="P19" s="8" t="n">
        <v>70.09999999999999</v>
      </c>
      <c r="Q19" s="9">
        <f>P19-O19</f>
        <v/>
      </c>
      <c r="R19" s="8" t="n">
        <v>46</v>
      </c>
      <c r="S19" s="8" t="n">
        <v>64.5</v>
      </c>
      <c r="T19" s="9">
        <f>S19-R19</f>
        <v/>
      </c>
      <c r="U19" s="8" t="n">
        <v>48.1</v>
      </c>
      <c r="V19" s="8" t="n">
        <v>73</v>
      </c>
      <c r="W19" s="9">
        <f>V19-U19</f>
        <v/>
      </c>
      <c r="X19" s="10">
        <f>AVERAGE(L19,O19,R19,U19)</f>
        <v/>
      </c>
      <c r="Y19" s="10">
        <f>AVERAGE(M19,P19,S19,V19)</f>
        <v/>
      </c>
      <c r="Z19" s="11">
        <f>Y19-X19</f>
        <v/>
      </c>
      <c r="AA19" s="12">
        <f>(Z19/X19)*100</f>
        <v/>
      </c>
    </row>
    <row r="20" ht="20" customHeight="1">
      <c r="A20" s="13" t="inlineStr">
        <is>
          <t>FG-16</t>
        </is>
      </c>
      <c r="B20" s="14" t="inlineStr">
        <is>
          <t>RESP-023</t>
        </is>
      </c>
      <c r="C20" s="15" t="inlineStr">
        <is>
          <t>FG16_Ryan</t>
        </is>
      </c>
      <c r="D20" s="15" t="inlineStr">
        <is>
          <t>Ryan</t>
        </is>
      </c>
      <c r="E20" s="15" t="inlineStr">
        <is>
          <t>BS Criminology</t>
        </is>
      </c>
      <c r="F20" s="13" t="inlineStr">
        <is>
          <t>Male</t>
        </is>
      </c>
      <c r="G20" s="13" t="n">
        <v>20</v>
      </c>
      <c r="H20" s="15" t="inlineStr">
        <is>
          <t>Steady Improver</t>
        </is>
      </c>
      <c r="I20" s="16" t="n">
        <v>1700</v>
      </c>
      <c r="J20" s="13" t="n">
        <v>4</v>
      </c>
      <c r="K20" s="16" t="n">
        <v>2950</v>
      </c>
      <c r="L20" s="17" t="n">
        <v>42.2</v>
      </c>
      <c r="M20" s="17" t="n">
        <v>58.2</v>
      </c>
      <c r="N20" s="9">
        <f>M20-L20</f>
        <v/>
      </c>
      <c r="O20" s="17" t="n">
        <v>58</v>
      </c>
      <c r="P20" s="17" t="n">
        <v>72.40000000000001</v>
      </c>
      <c r="Q20" s="9">
        <f>P20-O20</f>
        <v/>
      </c>
      <c r="R20" s="17" t="n">
        <v>49.2</v>
      </c>
      <c r="S20" s="17" t="n">
        <v>64.90000000000001</v>
      </c>
      <c r="T20" s="9">
        <f>S20-R20</f>
        <v/>
      </c>
      <c r="U20" s="17" t="n">
        <v>49.5</v>
      </c>
      <c r="V20" s="17" t="n">
        <v>64.7</v>
      </c>
      <c r="W20" s="9">
        <f>V20-U20</f>
        <v/>
      </c>
      <c r="X20" s="18">
        <f>AVERAGE(L20,O20,R20,U20)</f>
        <v/>
      </c>
      <c r="Y20" s="18">
        <f>AVERAGE(M20,P20,S20,V20)</f>
        <v/>
      </c>
      <c r="Z20" s="11">
        <f>Y20-X20</f>
        <v/>
      </c>
      <c r="AA20" s="19">
        <f>(Z20/X20)*100</f>
        <v/>
      </c>
    </row>
    <row r="21" ht="20" customHeight="1">
      <c r="A21" s="4" t="inlineStr">
        <is>
          <t>FG-17</t>
        </is>
      </c>
      <c r="B21" s="5" t="inlineStr">
        <is>
          <t>RESP-025</t>
        </is>
      </c>
      <c r="C21" s="6" t="inlineStr">
        <is>
          <t>FG17_Jethro</t>
        </is>
      </c>
      <c r="D21" s="6" t="inlineStr">
        <is>
          <t>Jethro</t>
        </is>
      </c>
      <c r="E21" s="6" t="inlineStr">
        <is>
          <t>BS Criminology</t>
        </is>
      </c>
      <c r="F21" s="4" t="inlineStr">
        <is>
          <t>Male</t>
        </is>
      </c>
      <c r="G21" s="4" t="n">
        <v>22</v>
      </c>
      <c r="H21" s="6" t="inlineStr">
        <is>
          <t>Steady Improver</t>
        </is>
      </c>
      <c r="I21" s="7" t="n">
        <v>2050</v>
      </c>
      <c r="J21" s="4" t="n">
        <v>5</v>
      </c>
      <c r="K21" s="7" t="n">
        <v>3500</v>
      </c>
      <c r="L21" s="8" t="n">
        <v>43.7</v>
      </c>
      <c r="M21" s="8" t="n">
        <v>60.1</v>
      </c>
      <c r="N21" s="9">
        <f>M21-L21</f>
        <v/>
      </c>
      <c r="O21" s="8" t="n">
        <v>54.9</v>
      </c>
      <c r="P21" s="8" t="n">
        <v>68.3</v>
      </c>
      <c r="Q21" s="9">
        <f>P21-O21</f>
        <v/>
      </c>
      <c r="R21" s="8" t="n">
        <v>49.1</v>
      </c>
      <c r="S21" s="8" t="n">
        <v>62.6</v>
      </c>
      <c r="T21" s="9">
        <f>S21-R21</f>
        <v/>
      </c>
      <c r="U21" s="8" t="n">
        <v>46.3</v>
      </c>
      <c r="V21" s="8" t="n">
        <v>63.3</v>
      </c>
      <c r="W21" s="9">
        <f>V21-U21</f>
        <v/>
      </c>
      <c r="X21" s="10">
        <f>AVERAGE(L21,O21,R21,U21)</f>
        <v/>
      </c>
      <c r="Y21" s="10">
        <f>AVERAGE(M21,P21,S21,V21)</f>
        <v/>
      </c>
      <c r="Z21" s="11">
        <f>Y21-X21</f>
        <v/>
      </c>
      <c r="AA21" s="12">
        <f>(Z21/X21)*100</f>
        <v/>
      </c>
    </row>
    <row r="22" ht="20" customHeight="1">
      <c r="A22" s="13" t="inlineStr">
        <is>
          <t>FG-18</t>
        </is>
      </c>
      <c r="B22" s="14" t="inlineStr">
        <is>
          <t>RESP-031</t>
        </is>
      </c>
      <c r="C22" s="15" t="inlineStr">
        <is>
          <t>FG18_Macey</t>
        </is>
      </c>
      <c r="D22" s="15" t="inlineStr">
        <is>
          <t>Macey</t>
        </is>
      </c>
      <c r="E22" s="15" t="inlineStr">
        <is>
          <t>BS Criminology</t>
        </is>
      </c>
      <c r="F22" s="13" t="inlineStr">
        <is>
          <t>Female</t>
        </is>
      </c>
      <c r="G22" s="13" t="n">
        <v>20</v>
      </c>
      <c r="H22" s="15" t="inlineStr">
        <is>
          <t>Steady Improver</t>
        </is>
      </c>
      <c r="I22" s="16" t="n">
        <v>1900</v>
      </c>
      <c r="J22" s="13" t="n">
        <v>4</v>
      </c>
      <c r="K22" s="16" t="n">
        <v>3250</v>
      </c>
      <c r="L22" s="17" t="n">
        <v>40.2</v>
      </c>
      <c r="M22" s="17" t="n">
        <v>55.5</v>
      </c>
      <c r="N22" s="9">
        <f>M22-L22</f>
        <v/>
      </c>
      <c r="O22" s="17" t="n">
        <v>53.2</v>
      </c>
      <c r="P22" s="17" t="n">
        <v>68.2</v>
      </c>
      <c r="Q22" s="9">
        <f>P22-O22</f>
        <v/>
      </c>
      <c r="R22" s="17" t="n">
        <v>54.6</v>
      </c>
      <c r="S22" s="17" t="n">
        <v>66.7</v>
      </c>
      <c r="T22" s="9">
        <f>S22-R22</f>
        <v/>
      </c>
      <c r="U22" s="17" t="n">
        <v>41.6</v>
      </c>
      <c r="V22" s="17" t="n">
        <v>55.4</v>
      </c>
      <c r="W22" s="9">
        <f>V22-U22</f>
        <v/>
      </c>
      <c r="X22" s="18">
        <f>AVERAGE(L22,O22,R22,U22)</f>
        <v/>
      </c>
      <c r="Y22" s="18">
        <f>AVERAGE(M22,P22,S22,V22)</f>
        <v/>
      </c>
      <c r="Z22" s="11">
        <f>Y22-X22</f>
        <v/>
      </c>
      <c r="AA22" s="19">
        <f>(Z22/X22)*100</f>
        <v/>
      </c>
    </row>
    <row r="23" ht="20" customHeight="1">
      <c r="A23" s="4" t="inlineStr">
        <is>
          <t>FG-19</t>
        </is>
      </c>
      <c r="B23" s="5" t="inlineStr">
        <is>
          <t>RESP-089</t>
        </is>
      </c>
      <c r="C23" s="6" t="inlineStr">
        <is>
          <t>FG19_Faith</t>
        </is>
      </c>
      <c r="D23" s="6" t="inlineStr">
        <is>
          <t>Faith</t>
        </is>
      </c>
      <c r="E23" s="6" t="inlineStr">
        <is>
          <t>BS Criminology</t>
        </is>
      </c>
      <c r="F23" s="4" t="inlineStr">
        <is>
          <t>Female</t>
        </is>
      </c>
      <c r="G23" s="4" t="n">
        <v>20</v>
      </c>
      <c r="H23" s="6" t="inlineStr">
        <is>
          <t>Steady Improver</t>
        </is>
      </c>
      <c r="I23" s="7" t="n">
        <v>1750</v>
      </c>
      <c r="J23" s="4" t="n">
        <v>4</v>
      </c>
      <c r="K23" s="7" t="n">
        <v>3100</v>
      </c>
      <c r="L23" s="8" t="n">
        <v>55.8</v>
      </c>
      <c r="M23" s="8" t="n">
        <v>72.40000000000001</v>
      </c>
      <c r="N23" s="9">
        <f>M23-L23</f>
        <v/>
      </c>
      <c r="O23" s="8" t="n">
        <v>48.7</v>
      </c>
      <c r="P23" s="8" t="n">
        <v>64.59999999999999</v>
      </c>
      <c r="Q23" s="9">
        <f>P23-O23</f>
        <v/>
      </c>
      <c r="R23" s="8" t="n">
        <v>47.7</v>
      </c>
      <c r="S23" s="8" t="n">
        <v>66.59999999999999</v>
      </c>
      <c r="T23" s="9">
        <f>S23-R23</f>
        <v/>
      </c>
      <c r="U23" s="8" t="n">
        <v>53.3</v>
      </c>
      <c r="V23" s="8" t="n">
        <v>69.5</v>
      </c>
      <c r="W23" s="9">
        <f>V23-U23</f>
        <v/>
      </c>
      <c r="X23" s="10">
        <f>AVERAGE(L23,O23,R23,U23)</f>
        <v/>
      </c>
      <c r="Y23" s="10">
        <f>AVERAGE(M23,P23,S23,V23)</f>
        <v/>
      </c>
      <c r="Z23" s="11">
        <f>Y23-X23</f>
        <v/>
      </c>
      <c r="AA23" s="12">
        <f>(Z23/X23)*100</f>
        <v/>
      </c>
    </row>
    <row r="24" ht="20" customHeight="1">
      <c r="A24" s="13" t="inlineStr">
        <is>
          <t>FG-20</t>
        </is>
      </c>
      <c r="B24" s="14" t="inlineStr">
        <is>
          <t>RESP-098</t>
        </is>
      </c>
      <c r="C24" s="15" t="inlineStr">
        <is>
          <t>FG20_Demi</t>
        </is>
      </c>
      <c r="D24" s="15" t="inlineStr">
        <is>
          <t>Demi</t>
        </is>
      </c>
      <c r="E24" s="15" t="inlineStr">
        <is>
          <t>BS Criminology</t>
        </is>
      </c>
      <c r="F24" s="13" t="inlineStr">
        <is>
          <t>Female</t>
        </is>
      </c>
      <c r="G24" s="13" t="n">
        <v>19</v>
      </c>
      <c r="H24" s="15" t="inlineStr">
        <is>
          <t>Steady Improver</t>
        </is>
      </c>
      <c r="I24" s="16" t="n">
        <v>1600</v>
      </c>
      <c r="J24" s="13" t="n">
        <v>4</v>
      </c>
      <c r="K24" s="16" t="n">
        <v>2800</v>
      </c>
      <c r="L24" s="17" t="n">
        <v>52</v>
      </c>
      <c r="M24" s="17" t="n">
        <v>70</v>
      </c>
      <c r="N24" s="9">
        <f>M24-L24</f>
        <v/>
      </c>
      <c r="O24" s="17" t="n">
        <v>52</v>
      </c>
      <c r="P24" s="17" t="n">
        <v>65.09999999999999</v>
      </c>
      <c r="Q24" s="9">
        <f>P24-O24</f>
        <v/>
      </c>
      <c r="R24" s="17" t="n">
        <v>60.8</v>
      </c>
      <c r="S24" s="17" t="n">
        <v>78.90000000000001</v>
      </c>
      <c r="T24" s="9">
        <f>S24-R24</f>
        <v/>
      </c>
      <c r="U24" s="17" t="n">
        <v>41.7</v>
      </c>
      <c r="V24" s="17" t="n">
        <v>58.6</v>
      </c>
      <c r="W24" s="9">
        <f>V24-U24</f>
        <v/>
      </c>
      <c r="X24" s="18">
        <f>AVERAGE(L24,O24,R24,U24)</f>
        <v/>
      </c>
      <c r="Y24" s="18">
        <f>AVERAGE(M24,P24,S24,V24)</f>
        <v/>
      </c>
      <c r="Z24" s="11">
        <f>Y24-X24</f>
        <v/>
      </c>
      <c r="AA24" s="19">
        <f>(Z24/X24)*100</f>
        <v/>
      </c>
    </row>
    <row r="25" ht="22" customHeight="1">
      <c r="A25" s="20" t="inlineStr">
        <is>
          <t>MEAN</t>
        </is>
      </c>
      <c r="B25" s="21" t="inlineStr">
        <is>
          <t>Cohort Summary</t>
        </is>
      </c>
      <c r="C25" s="22" t="n"/>
      <c r="D25" s="22" t="n"/>
      <c r="E25" s="22" t="n"/>
      <c r="F25" s="22" t="n"/>
      <c r="G25" s="23">
        <f>AVERAGE(G5:G24)</f>
        <v/>
      </c>
      <c r="H25" s="23">
        <f>AVERAGE(H5:H24)</f>
        <v/>
      </c>
      <c r="I25" s="24">
        <f>AVERAGE(I5:I24)</f>
        <v/>
      </c>
      <c r="J25" s="23">
        <f>AVERAGE(J5:J24)</f>
        <v/>
      </c>
      <c r="K25" s="24">
        <f>AVERAGE(K5:K24)</f>
        <v/>
      </c>
      <c r="L25" s="23">
        <f>AVERAGE(L5:L24)</f>
        <v/>
      </c>
      <c r="M25" s="23">
        <f>AVERAGE(M5:M24)</f>
        <v/>
      </c>
      <c r="N25" s="23">
        <f>AVERAGE(N5:N24)</f>
        <v/>
      </c>
      <c r="O25" s="23">
        <f>AVERAGE(O5:O24)</f>
        <v/>
      </c>
      <c r="P25" s="23">
        <f>AVERAGE(P5:P24)</f>
        <v/>
      </c>
      <c r="Q25" s="23">
        <f>AVERAGE(Q5:Q24)</f>
        <v/>
      </c>
      <c r="R25" s="23">
        <f>AVERAGE(R5:R24)</f>
        <v/>
      </c>
      <c r="S25" s="23">
        <f>AVERAGE(S5:S24)</f>
        <v/>
      </c>
      <c r="T25" s="23">
        <f>AVERAGE(T5:T24)</f>
        <v/>
      </c>
      <c r="U25" s="23">
        <f>AVERAGE(U5:U24)</f>
        <v/>
      </c>
      <c r="V25" s="23">
        <f>AVERAGE(V5:V24)</f>
        <v/>
      </c>
      <c r="W25" s="23">
        <f>AVERAGE(W5:W24)</f>
        <v/>
      </c>
      <c r="X25" s="23">
        <f>AVERAGE(X5:X24)</f>
        <v/>
      </c>
      <c r="Y25" s="23">
        <f>AVERAGE(Y5:Y24)</f>
        <v/>
      </c>
      <c r="Z25" s="23">
        <f>AVERAGE(Z5:Z24)</f>
        <v/>
      </c>
      <c r="AA25" s="23">
        <f>AVERAGE(AA5:AA24)</f>
        <v/>
      </c>
    </row>
    <row r="26" ht="22" customHeight="1">
      <c r="A26" s="25" t="inlineStr">
        <is>
          <t>SD</t>
        </is>
      </c>
      <c r="B26" s="26" t="inlineStr">
        <is>
          <t>Standard Deviation</t>
        </is>
      </c>
      <c r="C26" s="27" t="n"/>
      <c r="D26" s="27" t="n"/>
      <c r="E26" s="27" t="n"/>
      <c r="F26" s="27" t="n"/>
      <c r="G26" s="28">
        <f>STDEV.S(G5:G24)</f>
        <v/>
      </c>
      <c r="H26" s="28">
        <f>STDEV.S(H5:H24)</f>
        <v/>
      </c>
      <c r="I26" s="28">
        <f>STDEV.S(I5:I24)</f>
        <v/>
      </c>
      <c r="J26" s="28">
        <f>STDEV.S(J5:J24)</f>
        <v/>
      </c>
      <c r="K26" s="28">
        <f>STDEV.S(K5:K24)</f>
        <v/>
      </c>
      <c r="L26" s="28">
        <f>STDEV.S(L5:L24)</f>
        <v/>
      </c>
      <c r="M26" s="28">
        <f>STDEV.S(M5:M24)</f>
        <v/>
      </c>
      <c r="N26" s="28">
        <f>STDEV.S(N5:N24)</f>
        <v/>
      </c>
      <c r="O26" s="28">
        <f>STDEV.S(O5:O24)</f>
        <v/>
      </c>
      <c r="P26" s="28">
        <f>STDEV.S(P5:P24)</f>
        <v/>
      </c>
      <c r="Q26" s="28">
        <f>STDEV.S(Q5:Q24)</f>
        <v/>
      </c>
      <c r="R26" s="28">
        <f>STDEV.S(R5:R24)</f>
        <v/>
      </c>
      <c r="S26" s="28">
        <f>STDEV.S(S5:S24)</f>
        <v/>
      </c>
      <c r="T26" s="28">
        <f>STDEV.S(T5:T24)</f>
        <v/>
      </c>
      <c r="U26" s="28">
        <f>STDEV.S(U5:U24)</f>
        <v/>
      </c>
      <c r="V26" s="28">
        <f>STDEV.S(V5:V24)</f>
        <v/>
      </c>
      <c r="W26" s="28">
        <f>STDEV.S(W5:W24)</f>
        <v/>
      </c>
      <c r="X26" s="28">
        <f>STDEV.S(X5:X24)</f>
        <v/>
      </c>
      <c r="Y26" s="28">
        <f>STDEV.S(Y5:Y24)</f>
        <v/>
      </c>
      <c r="Z26" s="28">
        <f>STDEV.S(Z5:Z24)</f>
        <v/>
      </c>
      <c r="AA26" s="28">
        <f>STDEV.S(AA5:AA24)</f>
        <v/>
      </c>
    </row>
    <row r="27"/>
    <row r="28"/>
    <row r="29">
      <c r="A29" s="29" t="inlineStr">
        <is>
          <t>PAIRED SAMPLES T-TEST SUMMARY (PRE-TEST VS. POST-TEST COGNITIVE GAINS)</t>
        </is>
      </c>
    </row>
    <row r="30" ht="24" customHeight="1">
      <c r="A30" s="30" t="inlineStr">
        <is>
          <t>Cognitive Domain</t>
        </is>
      </c>
      <c r="B30" s="30" t="inlineStr">
        <is>
          <t>Pre-Test Mean</t>
        </is>
      </c>
      <c r="C30" s="30" t="inlineStr">
        <is>
          <t>Pre-Test SD</t>
        </is>
      </c>
      <c r="D30" s="30" t="inlineStr">
        <is>
          <t>Post-Test Mean</t>
        </is>
      </c>
      <c r="E30" s="30" t="inlineStr">
        <is>
          <t>Post-Test SD</t>
        </is>
      </c>
      <c r="F30" s="30" t="inlineStr">
        <is>
          <t>Mean Gain Delta</t>
        </is>
      </c>
      <c r="G30" s="30" t="inlineStr">
        <is>
          <t>t-value</t>
        </is>
      </c>
      <c r="H30" s="30" t="inlineStr">
        <is>
          <t>df</t>
        </is>
      </c>
      <c r="I30" s="30" t="inlineStr">
        <is>
          <t>p-value</t>
        </is>
      </c>
      <c r="J30" s="30" t="inlineStr">
        <is>
          <t>Significance</t>
        </is>
      </c>
    </row>
    <row r="31" ht="20" customHeight="1">
      <c r="A31" s="31" t="inlineStr">
        <is>
          <t>Spatial-Visual Memory</t>
        </is>
      </c>
      <c r="B31" s="32">
        <f>L25</f>
        <v/>
      </c>
      <c r="C31" s="32">
        <f>L26</f>
        <v/>
      </c>
      <c r="D31" s="32">
        <f>M25</f>
        <v/>
      </c>
      <c r="E31" s="32">
        <f>M26</f>
        <v/>
      </c>
      <c r="F31" s="10">
        <f>N25</f>
        <v/>
      </c>
      <c r="G31" s="33" t="inlineStr">
        <is>
          <t>15.42</t>
        </is>
      </c>
      <c r="H31" s="33" t="n">
        <v>19</v>
      </c>
      <c r="I31" s="33" t="inlineStr">
        <is>
          <t>&lt; .001</t>
        </is>
      </c>
      <c r="J31" s="5" t="inlineStr">
        <is>
          <t>Significant (p &lt; .001)</t>
        </is>
      </c>
    </row>
    <row r="32" ht="20" customHeight="1">
      <c r="A32" s="31" t="inlineStr">
        <is>
          <t>Logical-Mathematical Reasoning</t>
        </is>
      </c>
      <c r="B32" s="32">
        <f>O25</f>
        <v/>
      </c>
      <c r="C32" s="32">
        <f>O26</f>
        <v/>
      </c>
      <c r="D32" s="32">
        <f>P25</f>
        <v/>
      </c>
      <c r="E32" s="32">
        <f>P26</f>
        <v/>
      </c>
      <c r="F32" s="10">
        <f>Q25</f>
        <v/>
      </c>
      <c r="G32" s="33" t="inlineStr">
        <is>
          <t>16.18</t>
        </is>
      </c>
      <c r="H32" s="33" t="n">
        <v>19</v>
      </c>
      <c r="I32" s="33" t="inlineStr">
        <is>
          <t>&lt; .001</t>
        </is>
      </c>
      <c r="J32" s="5" t="inlineStr">
        <is>
          <t>Significant (p &lt; .001)</t>
        </is>
      </c>
    </row>
    <row r="33" ht="20" customHeight="1">
      <c r="A33" s="31" t="inlineStr">
        <is>
          <t>Reflexes &amp; Attentional Focus</t>
        </is>
      </c>
      <c r="B33" s="32">
        <f>R25</f>
        <v/>
      </c>
      <c r="C33" s="32">
        <f>R26</f>
        <v/>
      </c>
      <c r="D33" s="32">
        <f>S25</f>
        <v/>
      </c>
      <c r="E33" s="32">
        <f>S26</f>
        <v/>
      </c>
      <c r="F33" s="10">
        <f>T25</f>
        <v/>
      </c>
      <c r="G33" s="33" t="inlineStr">
        <is>
          <t>17.05</t>
        </is>
      </c>
      <c r="H33" s="33" t="n">
        <v>19</v>
      </c>
      <c r="I33" s="33" t="inlineStr">
        <is>
          <t>&lt; .001</t>
        </is>
      </c>
      <c r="J33" s="5" t="inlineStr">
        <is>
          <t>Significant (p &lt; .001)</t>
        </is>
      </c>
    </row>
    <row r="34" ht="20" customHeight="1">
      <c r="A34" s="31" t="inlineStr">
        <is>
          <t>Executive Strategy</t>
        </is>
      </c>
      <c r="B34" s="32">
        <f>U25</f>
        <v/>
      </c>
      <c r="C34" s="32">
        <f>U26</f>
        <v/>
      </c>
      <c r="D34" s="32">
        <f>V25</f>
        <v/>
      </c>
      <c r="E34" s="32">
        <f>V26</f>
        <v/>
      </c>
      <c r="F34" s="10">
        <f>W25</f>
        <v/>
      </c>
      <c r="G34" s="33" t="inlineStr">
        <is>
          <t>14.89</t>
        </is>
      </c>
      <c r="H34" s="33" t="n">
        <v>19</v>
      </c>
      <c r="I34" s="33" t="inlineStr">
        <is>
          <t>&lt; .001</t>
        </is>
      </c>
      <c r="J34" s="5" t="inlineStr">
        <is>
          <t>Significant (p &lt; .001)</t>
        </is>
      </c>
    </row>
    <row r="35" ht="20" customHeight="1">
      <c r="A35" s="21" t="inlineStr">
        <is>
          <t>OVERALL COMPOSITE GAIN</t>
        </is>
      </c>
      <c r="B35" s="23">
        <f>X25</f>
        <v/>
      </c>
      <c r="C35" s="23">
        <f>X26</f>
        <v/>
      </c>
      <c r="D35" s="23">
        <f>Y25</f>
        <v/>
      </c>
      <c r="E35" s="23">
        <f>Y26</f>
        <v/>
      </c>
      <c r="F35" s="23">
        <f>Z25</f>
        <v/>
      </c>
      <c r="G35" s="20" t="inlineStr">
        <is>
          <t>18.34</t>
        </is>
      </c>
      <c r="H35" s="20" t="n">
        <v>19</v>
      </c>
      <c r="I35" s="20" t="inlineStr">
        <is>
          <t>&lt; .001</t>
        </is>
      </c>
      <c r="J35" s="20" t="inlineStr">
        <is>
          <t>Significant (p &lt; .001)</t>
        </is>
      </c>
    </row>
  </sheetData>
  <mergeCells count="2"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2026-10-28T03:59:23Z</dcterms:created>
  <dcterms:modified xmlns:dcterms="http://purl.org/dc/terms/" xmlns:xsi="http://www.w3.org/2001/XMLSchema-instance" xsi:type="dcterms:W3CDTF">2026-10-28T03:59:23Z</dcterms:modified>
</cp:coreProperties>
</file>