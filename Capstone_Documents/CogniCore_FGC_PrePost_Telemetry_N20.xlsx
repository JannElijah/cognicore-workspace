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cus_Group_PrePost_N20" sheetId="1" state="visible" r:id="rId1"/>
    <sheet xmlns:r="http://schemas.openxmlformats.org/officeDocument/2006/relationships" name="Paired_TTest_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+0.0%;-0.0%;0.0%"/>
    <numFmt numFmtId="166" formatCode="0.0"/>
    <numFmt numFmtId="167" formatCode="#,##0.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000000"/>
      <sz val="11"/>
    </font>
    <font>
      <name val="Calibri"/>
      <b val="1"/>
      <color rgb="001F4E78"/>
      <sz val="13"/>
    </font>
    <font>
      <name val="Calibri"/>
      <i val="1"/>
      <color rgb="00595959"/>
      <sz val="10"/>
    </font>
    <font>
      <name val="Calibri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2EFDA"/>
        <bgColor rgb="00E2EFDA"/>
      </patternFill>
    </fill>
    <fill>
      <patternFill patternType="solid">
        <fgColor rgb="00F9FAFB"/>
        <bgColor rgb="00F9FAFB"/>
      </patternFill>
    </fill>
    <fill>
      <patternFill patternType="solid">
        <fgColor rgb="00EAEEF7"/>
        <bgColor rgb="00EAEEF7"/>
      </patternFill>
    </fill>
  </fills>
  <borders count="4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1F4E78"/>
      </top>
      <bottom style="medium">
        <color rgb="001F4E78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3" fontId="0" fillId="0" borderId="2" applyAlignment="1" pivotButton="0" quotePrefix="0" xfId="0">
      <alignment horizontal="right" vertical="center"/>
    </xf>
    <xf numFmtId="3" fontId="2" fillId="3" borderId="2" applyAlignment="1" pivotButton="0" quotePrefix="0" xfId="0">
      <alignment horizontal="right" vertical="center"/>
    </xf>
    <xf numFmtId="1" fontId="0" fillId="0" borderId="2" applyAlignment="1" pivotButton="0" quotePrefix="0" xfId="0">
      <alignment horizontal="right" vertical="center"/>
    </xf>
    <xf numFmtId="1" fontId="2" fillId="3" borderId="2" applyAlignment="1" pivotButton="0" quotePrefix="0" xfId="0">
      <alignment horizontal="right" vertical="center"/>
    </xf>
    <xf numFmtId="164" fontId="0" fillId="0" borderId="2" applyAlignment="1" pivotButton="0" quotePrefix="0" xfId="0">
      <alignment horizontal="right" vertical="center"/>
    </xf>
    <xf numFmtId="165" fontId="2" fillId="3" borderId="2" applyAlignment="1" pivotButton="0" quotePrefix="0" xfId="0">
      <alignment horizontal="right" vertical="center"/>
    </xf>
    <xf numFmtId="0" fontId="0" fillId="4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left" vertical="center"/>
    </xf>
    <xf numFmtId="3" fontId="0" fillId="4" borderId="2" applyAlignment="1" pivotButton="0" quotePrefix="0" xfId="0">
      <alignment horizontal="right" vertical="center"/>
    </xf>
    <xf numFmtId="1" fontId="0" fillId="4" borderId="2" applyAlignment="1" pivotButton="0" quotePrefix="0" xfId="0">
      <alignment horizontal="right" vertical="center"/>
    </xf>
    <xf numFmtId="164" fontId="0" fillId="4" borderId="2" applyAlignment="1" pivotButton="0" quotePrefix="0" xfId="0">
      <alignment horizontal="right" vertical="center"/>
    </xf>
    <xf numFmtId="0" fontId="2" fillId="5" borderId="3" applyAlignment="1" pivotButton="0" quotePrefix="0" xfId="0">
      <alignment horizontal="center" vertical="center"/>
    </xf>
    <xf numFmtId="166" fontId="2" fillId="5" borderId="3" applyAlignment="1" pivotButton="0" quotePrefix="0" xfId="0">
      <alignment horizontal="center" vertical="center"/>
    </xf>
    <xf numFmtId="0" fontId="0" fillId="5" borderId="3" pivotButton="0" quotePrefix="0" xfId="0"/>
    <xf numFmtId="0" fontId="2" fillId="5" borderId="3" applyAlignment="1" pivotButton="0" quotePrefix="0" xfId="0">
      <alignment horizontal="left" vertical="center"/>
    </xf>
    <xf numFmtId="167" fontId="2" fillId="5" borderId="3" applyAlignment="1" pivotButton="0" quotePrefix="0" xfId="0">
      <alignment horizontal="right" vertical="center"/>
    </xf>
    <xf numFmtId="2" fontId="2" fillId="5" borderId="3" applyAlignment="1" pivotButton="0" quotePrefix="0" xfId="0">
      <alignment horizontal="right" vertical="center"/>
    </xf>
    <xf numFmtId="164" fontId="2" fillId="5" borderId="3" applyAlignment="1" pivotButton="0" quotePrefix="0" xfId="0">
      <alignment horizontal="right" vertical="center"/>
    </xf>
    <xf numFmtId="0" fontId="2" fillId="5" borderId="2" applyAlignment="1" pivotButton="0" quotePrefix="0" xfId="0">
      <alignment horizontal="center" vertical="center"/>
    </xf>
    <xf numFmtId="2" fontId="2" fillId="5" borderId="2" applyAlignment="1" pivotButton="0" quotePrefix="0" xfId="0">
      <alignment horizontal="center" vertical="center"/>
    </xf>
    <xf numFmtId="0" fontId="0" fillId="5" borderId="2" pivotButton="0" quotePrefix="0" xfId="0"/>
    <xf numFmtId="0" fontId="2" fillId="5" borderId="2" applyAlignment="1" pivotButton="0" quotePrefix="0" xfId="0">
      <alignment horizontal="left" vertical="center"/>
    </xf>
    <xf numFmtId="167" fontId="2" fillId="5" borderId="2" applyAlignment="1" pivotButton="0" quotePrefix="0" xfId="0">
      <alignment horizontal="right" vertical="center"/>
    </xf>
    <xf numFmtId="2" fontId="2" fillId="5" borderId="2" applyAlignment="1" pivotButton="0" quotePrefix="0" xfId="0">
      <alignment horizontal="right" vertical="center"/>
    </xf>
    <xf numFmtId="164" fontId="2" fillId="5" borderId="2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2" fillId="0" borderId="2" applyAlignment="1" pivotButton="0" quotePrefix="0" xfId="0">
      <alignment horizontal="left" vertical="center"/>
    </xf>
    <xf numFmtId="2" fontId="5" fillId="0" borderId="2" applyAlignment="1" pivotButton="0" quotePrefix="0" xfId="0">
      <alignment horizontal="right" vertical="center"/>
    </xf>
    <xf numFmtId="0" fontId="2" fillId="0" borderId="2" applyAlignment="1" pivotButton="0" quotePrefix="0" xfId="0">
      <alignment horizontal="right" vertical="center"/>
    </xf>
    <xf numFmtId="0" fontId="5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left" vertical="center"/>
    </xf>
    <xf numFmtId="2" fontId="5" fillId="4" borderId="2" applyAlignment="1" pivotButton="0" quotePrefix="0" xfId="0">
      <alignment horizontal="right" vertical="center"/>
    </xf>
    <xf numFmtId="0" fontId="2" fillId="4" borderId="2" applyAlignment="1" pivotButton="0" quotePrefix="0" xfId="0">
      <alignment horizontal="right" vertical="center"/>
    </xf>
    <xf numFmtId="0" fontId="5" fillId="4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10" customWidth="1" min="3" max="3"/>
    <col width="20" customWidth="1" min="4" max="4"/>
    <col width="22" customWidth="1" min="5" max="5"/>
    <col width="22" customWidth="1" min="6" max="6"/>
    <col width="16" customWidth="1" min="7" max="7"/>
    <col width="20" customWidth="1" min="8" max="8"/>
    <col width="20" customWidth="1" min="9" max="9"/>
    <col width="14" customWidth="1" min="10" max="10"/>
    <col width="22" customWidth="1" min="11" max="11"/>
    <col width="22" customWidth="1" min="12" max="12"/>
    <col width="20" customWidth="1" min="13" max="13"/>
  </cols>
  <sheetData>
    <row r="1" ht="28" customHeight="1">
      <c r="A1" s="1" t="inlineStr">
        <is>
          <t>Participant_Code</t>
        </is>
      </c>
      <c r="B1" s="1" t="inlineStr">
        <is>
          <t>Age</t>
        </is>
      </c>
      <c r="C1" s="1" t="inlineStr">
        <is>
          <t>Sex</t>
        </is>
      </c>
      <c r="D1" s="1" t="inlineStr">
        <is>
          <t>Course_Year</t>
        </is>
      </c>
      <c r="E1" s="1" t="inlineStr">
        <is>
          <t>PreTest_Hesitation_ms</t>
        </is>
      </c>
      <c r="F1" s="1" t="inlineStr">
        <is>
          <t>PostTest_Hesitation_ms</t>
        </is>
      </c>
      <c r="G1" s="1" t="inlineStr">
        <is>
          <t>Hesitation_Diff</t>
        </is>
      </c>
      <c r="H1" s="1" t="inlineStr">
        <is>
          <t>PreTest_Error_Count</t>
        </is>
      </c>
      <c r="I1" s="1" t="inlineStr">
        <is>
          <t>PostTest_Error_Count</t>
        </is>
      </c>
      <c r="J1" s="1" t="inlineStr">
        <is>
          <t>Error_Diff</t>
        </is>
      </c>
      <c r="K1" s="1" t="inlineStr">
        <is>
          <t>PreTest_Accuracy_Pct</t>
        </is>
      </c>
      <c r="L1" s="1" t="inlineStr">
        <is>
          <t>PostTest_Accuracy_Pct</t>
        </is>
      </c>
      <c r="M1" s="1" t="inlineStr">
        <is>
          <t>Accuracy_Gain_Pct</t>
        </is>
      </c>
    </row>
    <row r="2" ht="20" customHeight="1">
      <c r="A2" s="2" t="inlineStr">
        <is>
          <t>FG-01</t>
        </is>
      </c>
      <c r="B2" s="2" t="n">
        <v>21</v>
      </c>
      <c r="C2" s="2" t="inlineStr">
        <is>
          <t>Male</t>
        </is>
      </c>
      <c r="D2" s="3" t="inlineStr">
        <is>
          <t>BSIT - 4th Year</t>
        </is>
      </c>
      <c r="E2" s="4" t="n">
        <v>1420</v>
      </c>
      <c r="F2" s="4" t="n">
        <v>760</v>
      </c>
      <c r="G2" s="5">
        <f>E2-F2</f>
        <v/>
      </c>
      <c r="H2" s="6" t="n">
        <v>6</v>
      </c>
      <c r="I2" s="6" t="n">
        <v>1</v>
      </c>
      <c r="J2" s="7">
        <f>H2-I2</f>
        <v/>
      </c>
      <c r="K2" s="8">
        <f>(20-H2)/20</f>
        <v/>
      </c>
      <c r="L2" s="8">
        <f>(20-I2)/20</f>
        <v/>
      </c>
      <c r="M2" s="9">
        <f>L2-K2</f>
        <v/>
      </c>
    </row>
    <row r="3" ht="20" customHeight="1">
      <c r="A3" s="10" t="inlineStr">
        <is>
          <t>FG-02</t>
        </is>
      </c>
      <c r="B3" s="10" t="n">
        <v>21</v>
      </c>
      <c r="C3" s="10" t="inlineStr">
        <is>
          <t>Male</t>
        </is>
      </c>
      <c r="D3" s="11" t="inlineStr">
        <is>
          <t>BSIT - 4th Year</t>
        </is>
      </c>
      <c r="E3" s="12" t="n">
        <v>1490</v>
      </c>
      <c r="F3" s="12" t="n">
        <v>910</v>
      </c>
      <c r="G3" s="5">
        <f>E3-F3</f>
        <v/>
      </c>
      <c r="H3" s="13" t="n">
        <v>5</v>
      </c>
      <c r="I3" s="13" t="n">
        <v>2</v>
      </c>
      <c r="J3" s="7">
        <f>H3-I3</f>
        <v/>
      </c>
      <c r="K3" s="14">
        <f>(20-H3)/20</f>
        <v/>
      </c>
      <c r="L3" s="14">
        <f>(20-I3)/20</f>
        <v/>
      </c>
      <c r="M3" s="9">
        <f>L3-K3</f>
        <v/>
      </c>
    </row>
    <row r="4" ht="20" customHeight="1">
      <c r="A4" s="2" t="inlineStr">
        <is>
          <t>FG-03</t>
        </is>
      </c>
      <c r="B4" s="2" t="n">
        <v>23</v>
      </c>
      <c r="C4" s="2" t="inlineStr">
        <is>
          <t>Female</t>
        </is>
      </c>
      <c r="D4" s="3" t="inlineStr">
        <is>
          <t>BSIT - 4th Year</t>
        </is>
      </c>
      <c r="E4" s="4" t="n">
        <v>1820</v>
      </c>
      <c r="F4" s="4" t="n">
        <v>1180</v>
      </c>
      <c r="G4" s="5">
        <f>E4-F4</f>
        <v/>
      </c>
      <c r="H4" s="6" t="n">
        <v>8</v>
      </c>
      <c r="I4" s="6" t="n">
        <v>3</v>
      </c>
      <c r="J4" s="7">
        <f>H4-I4</f>
        <v/>
      </c>
      <c r="K4" s="8">
        <f>(20-H4)/20</f>
        <v/>
      </c>
      <c r="L4" s="8">
        <f>(20-I4)/20</f>
        <v/>
      </c>
      <c r="M4" s="9">
        <f>L4-K4</f>
        <v/>
      </c>
    </row>
    <row r="5" ht="20" customHeight="1">
      <c r="A5" s="10" t="inlineStr">
        <is>
          <t>FG-04</t>
        </is>
      </c>
      <c r="B5" s="10" t="n">
        <v>22</v>
      </c>
      <c r="C5" s="10" t="inlineStr">
        <is>
          <t>Male</t>
        </is>
      </c>
      <c r="D5" s="11" t="inlineStr">
        <is>
          <t>BSIT - 4th Year</t>
        </is>
      </c>
      <c r="E5" s="12" t="n">
        <v>1640</v>
      </c>
      <c r="F5" s="12" t="n">
        <v>1150</v>
      </c>
      <c r="G5" s="5">
        <f>E5-F5</f>
        <v/>
      </c>
      <c r="H5" s="13" t="n">
        <v>7</v>
      </c>
      <c r="I5" s="13" t="n">
        <v>2</v>
      </c>
      <c r="J5" s="7">
        <f>H5-I5</f>
        <v/>
      </c>
      <c r="K5" s="14">
        <f>(20-H5)/20</f>
        <v/>
      </c>
      <c r="L5" s="14">
        <f>(20-I5)/20</f>
        <v/>
      </c>
      <c r="M5" s="9">
        <f>L5-K5</f>
        <v/>
      </c>
    </row>
    <row r="6" ht="20" customHeight="1">
      <c r="A6" s="2" t="inlineStr">
        <is>
          <t>FG-05</t>
        </is>
      </c>
      <c r="B6" s="2" t="n">
        <v>21</v>
      </c>
      <c r="C6" s="2" t="inlineStr">
        <is>
          <t>Male</t>
        </is>
      </c>
      <c r="D6" s="3" t="inlineStr">
        <is>
          <t>BSIT - 4th Year</t>
        </is>
      </c>
      <c r="E6" s="4" t="n">
        <v>1780</v>
      </c>
      <c r="F6" s="4" t="n">
        <v>1260</v>
      </c>
      <c r="G6" s="5">
        <f>E6-F6</f>
        <v/>
      </c>
      <c r="H6" s="6" t="n">
        <v>8</v>
      </c>
      <c r="I6" s="6" t="n">
        <v>4</v>
      </c>
      <c r="J6" s="7">
        <f>H6-I6</f>
        <v/>
      </c>
      <c r="K6" s="8">
        <f>(20-H6)/20</f>
        <v/>
      </c>
      <c r="L6" s="8">
        <f>(20-I6)/20</f>
        <v/>
      </c>
      <c r="M6" s="9">
        <f>L6-K6</f>
        <v/>
      </c>
    </row>
    <row r="7" ht="20" customHeight="1">
      <c r="A7" s="10" t="inlineStr">
        <is>
          <t>FG-06</t>
        </is>
      </c>
      <c r="B7" s="10" t="n">
        <v>21</v>
      </c>
      <c r="C7" s="10" t="inlineStr">
        <is>
          <t>Male</t>
        </is>
      </c>
      <c r="D7" s="11" t="inlineStr">
        <is>
          <t>BSIT - 4th Year</t>
        </is>
      </c>
      <c r="E7" s="12" t="n">
        <v>1450</v>
      </c>
      <c r="F7" s="12" t="n">
        <v>820</v>
      </c>
      <c r="G7" s="5">
        <f>E7-F7</f>
        <v/>
      </c>
      <c r="H7" s="13" t="n">
        <v>6</v>
      </c>
      <c r="I7" s="13" t="n">
        <v>1</v>
      </c>
      <c r="J7" s="7">
        <f>H7-I7</f>
        <v/>
      </c>
      <c r="K7" s="14">
        <f>(20-H7)/20</f>
        <v/>
      </c>
      <c r="L7" s="14">
        <f>(20-I7)/20</f>
        <v/>
      </c>
      <c r="M7" s="9">
        <f>L7-K7</f>
        <v/>
      </c>
    </row>
    <row r="8" ht="20" customHeight="1">
      <c r="A8" s="2" t="inlineStr">
        <is>
          <t>FG-07</t>
        </is>
      </c>
      <c r="B8" s="2" t="n">
        <v>21</v>
      </c>
      <c r="C8" s="2" t="inlineStr">
        <is>
          <t>Female</t>
        </is>
      </c>
      <c r="D8" s="3" t="inlineStr">
        <is>
          <t>BSIT - 4th Year</t>
        </is>
      </c>
      <c r="E8" s="4" t="n">
        <v>1690</v>
      </c>
      <c r="F8" s="4" t="n">
        <v>1040</v>
      </c>
      <c r="G8" s="5">
        <f>E8-F8</f>
        <v/>
      </c>
      <c r="H8" s="6" t="n">
        <v>7</v>
      </c>
      <c r="I8" s="6" t="n">
        <v>2</v>
      </c>
      <c r="J8" s="7">
        <f>H8-I8</f>
        <v/>
      </c>
      <c r="K8" s="8">
        <f>(20-H8)/20</f>
        <v/>
      </c>
      <c r="L8" s="8">
        <f>(20-I8)/20</f>
        <v/>
      </c>
      <c r="M8" s="9">
        <f>L8-K8</f>
        <v/>
      </c>
    </row>
    <row r="9" ht="20" customHeight="1">
      <c r="A9" s="10" t="inlineStr">
        <is>
          <t>FG-08</t>
        </is>
      </c>
      <c r="B9" s="10" t="n">
        <v>21</v>
      </c>
      <c r="C9" s="10" t="inlineStr">
        <is>
          <t>Male</t>
        </is>
      </c>
      <c r="D9" s="11" t="inlineStr">
        <is>
          <t>BSIT - 4th Year</t>
        </is>
      </c>
      <c r="E9" s="12" t="n">
        <v>1340</v>
      </c>
      <c r="F9" s="12" t="n">
        <v>690</v>
      </c>
      <c r="G9" s="5">
        <f>E9-F9</f>
        <v/>
      </c>
      <c r="H9" s="13" t="n">
        <v>5</v>
      </c>
      <c r="I9" s="13" t="n">
        <v>1</v>
      </c>
      <c r="J9" s="7">
        <f>H9-I9</f>
        <v/>
      </c>
      <c r="K9" s="14">
        <f>(20-H9)/20</f>
        <v/>
      </c>
      <c r="L9" s="14">
        <f>(20-I9)/20</f>
        <v/>
      </c>
      <c r="M9" s="9">
        <f>L9-K9</f>
        <v/>
      </c>
    </row>
    <row r="10" ht="20" customHeight="1">
      <c r="A10" s="2" t="inlineStr">
        <is>
          <t>FG-09</t>
        </is>
      </c>
      <c r="B10" s="2" t="n">
        <v>24</v>
      </c>
      <c r="C10" s="2" t="inlineStr">
        <is>
          <t>Male</t>
        </is>
      </c>
      <c r="D10" s="3" t="inlineStr">
        <is>
          <t>BSCS - 4th Year</t>
        </is>
      </c>
      <c r="E10" s="4" t="n">
        <v>1750</v>
      </c>
      <c r="F10" s="4" t="n">
        <v>1210</v>
      </c>
      <c r="G10" s="5">
        <f>E10-F10</f>
        <v/>
      </c>
      <c r="H10" s="6" t="n">
        <v>7</v>
      </c>
      <c r="I10" s="6" t="n">
        <v>3</v>
      </c>
      <c r="J10" s="7">
        <f>H10-I10</f>
        <v/>
      </c>
      <c r="K10" s="8">
        <f>(20-H10)/20</f>
        <v/>
      </c>
      <c r="L10" s="8">
        <f>(20-I10)/20</f>
        <v/>
      </c>
      <c r="M10" s="9">
        <f>L10-K10</f>
        <v/>
      </c>
    </row>
    <row r="11" ht="20" customHeight="1">
      <c r="A11" s="10" t="inlineStr">
        <is>
          <t>FG-10</t>
        </is>
      </c>
      <c r="B11" s="10" t="n">
        <v>22</v>
      </c>
      <c r="C11" s="10" t="inlineStr">
        <is>
          <t>Male</t>
        </is>
      </c>
      <c r="D11" s="11" t="inlineStr">
        <is>
          <t>BSCS - 4th Year</t>
        </is>
      </c>
      <c r="E11" s="12" t="n">
        <v>1310</v>
      </c>
      <c r="F11" s="12" t="n">
        <v>650</v>
      </c>
      <c r="G11" s="5">
        <f>E11-F11</f>
        <v/>
      </c>
      <c r="H11" s="13" t="n">
        <v>5</v>
      </c>
      <c r="I11" s="13" t="n">
        <v>1</v>
      </c>
      <c r="J11" s="7">
        <f>H11-I11</f>
        <v/>
      </c>
      <c r="K11" s="14">
        <f>(20-H11)/20</f>
        <v/>
      </c>
      <c r="L11" s="14">
        <f>(20-I11)/20</f>
        <v/>
      </c>
      <c r="M11" s="9">
        <f>L11-K11</f>
        <v/>
      </c>
    </row>
    <row r="12" ht="20" customHeight="1">
      <c r="A12" s="2" t="inlineStr">
        <is>
          <t>FG-11</t>
        </is>
      </c>
      <c r="B12" s="2" t="n">
        <v>23</v>
      </c>
      <c r="C12" s="2" t="inlineStr">
        <is>
          <t>Male</t>
        </is>
      </c>
      <c r="D12" s="3" t="inlineStr">
        <is>
          <t>BSCS - 3rd Year</t>
        </is>
      </c>
      <c r="E12" s="4" t="n">
        <v>1830</v>
      </c>
      <c r="F12" s="4" t="n">
        <v>1340</v>
      </c>
      <c r="G12" s="5">
        <f>E12-F12</f>
        <v/>
      </c>
      <c r="H12" s="6" t="n">
        <v>8</v>
      </c>
      <c r="I12" s="6" t="n">
        <v>3</v>
      </c>
      <c r="J12" s="7">
        <f>H12-I12</f>
        <v/>
      </c>
      <c r="K12" s="8">
        <f>(20-H12)/20</f>
        <v/>
      </c>
      <c r="L12" s="8">
        <f>(20-I12)/20</f>
        <v/>
      </c>
      <c r="M12" s="9">
        <f>L12-K12</f>
        <v/>
      </c>
    </row>
    <row r="13" ht="20" customHeight="1">
      <c r="A13" s="10" t="inlineStr">
        <is>
          <t>FG-12</t>
        </is>
      </c>
      <c r="B13" s="10" t="n">
        <v>20</v>
      </c>
      <c r="C13" s="10" t="inlineStr">
        <is>
          <t>Male</t>
        </is>
      </c>
      <c r="D13" s="11" t="inlineStr">
        <is>
          <t>BSCS - 2nd Year</t>
        </is>
      </c>
      <c r="E13" s="12" t="n">
        <v>1420</v>
      </c>
      <c r="F13" s="12" t="n">
        <v>790</v>
      </c>
      <c r="G13" s="5">
        <f>E13-F13</f>
        <v/>
      </c>
      <c r="H13" s="13" t="n">
        <v>5</v>
      </c>
      <c r="I13" s="13" t="n">
        <v>1</v>
      </c>
      <c r="J13" s="7">
        <f>H13-I13</f>
        <v/>
      </c>
      <c r="K13" s="14">
        <f>(20-H13)/20</f>
        <v/>
      </c>
      <c r="L13" s="14">
        <f>(20-I13)/20</f>
        <v/>
      </c>
      <c r="M13" s="9">
        <f>L13-K13</f>
        <v/>
      </c>
    </row>
    <row r="14" ht="20" customHeight="1">
      <c r="A14" s="2" t="inlineStr">
        <is>
          <t>FG-13</t>
        </is>
      </c>
      <c r="B14" s="2" t="n">
        <v>19</v>
      </c>
      <c r="C14" s="2" t="inlineStr">
        <is>
          <t>Male</t>
        </is>
      </c>
      <c r="D14" s="3" t="inlineStr">
        <is>
          <t>BSCS - 2nd Year</t>
        </is>
      </c>
      <c r="E14" s="4" t="n">
        <v>1660</v>
      </c>
      <c r="F14" s="4" t="n">
        <v>1120</v>
      </c>
      <c r="G14" s="5">
        <f>E14-F14</f>
        <v/>
      </c>
      <c r="H14" s="6" t="n">
        <v>7</v>
      </c>
      <c r="I14" s="6" t="n">
        <v>2</v>
      </c>
      <c r="J14" s="7">
        <f>H14-I14</f>
        <v/>
      </c>
      <c r="K14" s="8">
        <f>(20-H14)/20</f>
        <v/>
      </c>
      <c r="L14" s="8">
        <f>(20-I14)/20</f>
        <v/>
      </c>
      <c r="M14" s="9">
        <f>L14-K14</f>
        <v/>
      </c>
    </row>
    <row r="15" ht="20" customHeight="1">
      <c r="A15" s="10" t="inlineStr">
        <is>
          <t>FG-14</t>
        </is>
      </c>
      <c r="B15" s="10" t="n">
        <v>20</v>
      </c>
      <c r="C15" s="10" t="inlineStr">
        <is>
          <t>Male</t>
        </is>
      </c>
      <c r="D15" s="11" t="inlineStr">
        <is>
          <t>BSCS - 2nd Year</t>
        </is>
      </c>
      <c r="E15" s="12" t="n">
        <v>2080</v>
      </c>
      <c r="F15" s="12" t="n">
        <v>1560</v>
      </c>
      <c r="G15" s="5">
        <f>E15-F15</f>
        <v/>
      </c>
      <c r="H15" s="13" t="n">
        <v>9</v>
      </c>
      <c r="I15" s="13" t="n">
        <v>5</v>
      </c>
      <c r="J15" s="7">
        <f>H15-I15</f>
        <v/>
      </c>
      <c r="K15" s="14">
        <f>(20-H15)/20</f>
        <v/>
      </c>
      <c r="L15" s="14">
        <f>(20-I15)/20</f>
        <v/>
      </c>
      <c r="M15" s="9">
        <f>L15-K15</f>
        <v/>
      </c>
    </row>
    <row r="16" ht="20" customHeight="1">
      <c r="A16" s="2" t="inlineStr">
        <is>
          <t>FG-15</t>
        </is>
      </c>
      <c r="B16" s="2" t="n">
        <v>20</v>
      </c>
      <c r="C16" s="2" t="inlineStr">
        <is>
          <t>Female</t>
        </is>
      </c>
      <c r="D16" s="3" t="inlineStr">
        <is>
          <t>BSCrim - 3rd Year</t>
        </is>
      </c>
      <c r="E16" s="4" t="n">
        <v>1520</v>
      </c>
      <c r="F16" s="4" t="n">
        <v>880</v>
      </c>
      <c r="G16" s="5">
        <f>E16-F16</f>
        <v/>
      </c>
      <c r="H16" s="6" t="n">
        <v>6</v>
      </c>
      <c r="I16" s="6" t="n">
        <v>2</v>
      </c>
      <c r="J16" s="7">
        <f>H16-I16</f>
        <v/>
      </c>
      <c r="K16" s="8">
        <f>(20-H16)/20</f>
        <v/>
      </c>
      <c r="L16" s="8">
        <f>(20-I16)/20</f>
        <v/>
      </c>
      <c r="M16" s="9">
        <f>L16-K16</f>
        <v/>
      </c>
    </row>
    <row r="17" ht="20" customHeight="1">
      <c r="A17" s="10" t="inlineStr">
        <is>
          <t>FG-16</t>
        </is>
      </c>
      <c r="B17" s="10" t="n">
        <v>20</v>
      </c>
      <c r="C17" s="10" t="inlineStr">
        <is>
          <t>Male</t>
        </is>
      </c>
      <c r="D17" s="11" t="inlineStr">
        <is>
          <t>BSCrim - 3rd Year</t>
        </is>
      </c>
      <c r="E17" s="12" t="n">
        <v>1860</v>
      </c>
      <c r="F17" s="12" t="n">
        <v>1380</v>
      </c>
      <c r="G17" s="5">
        <f>E17-F17</f>
        <v/>
      </c>
      <c r="H17" s="13" t="n">
        <v>8</v>
      </c>
      <c r="I17" s="13" t="n">
        <v>4</v>
      </c>
      <c r="J17" s="7">
        <f>H17-I17</f>
        <v/>
      </c>
      <c r="K17" s="14">
        <f>(20-H17)/20</f>
        <v/>
      </c>
      <c r="L17" s="14">
        <f>(20-I17)/20</f>
        <v/>
      </c>
      <c r="M17" s="9">
        <f>L17-K17</f>
        <v/>
      </c>
    </row>
    <row r="18" ht="20" customHeight="1">
      <c r="A18" s="2" t="inlineStr">
        <is>
          <t>FG-17</t>
        </is>
      </c>
      <c r="B18" s="2" t="n">
        <v>22</v>
      </c>
      <c r="C18" s="2" t="inlineStr">
        <is>
          <t>Male</t>
        </is>
      </c>
      <c r="D18" s="3" t="inlineStr">
        <is>
          <t>BSCrim - 3rd Year</t>
        </is>
      </c>
      <c r="E18" s="4" t="n">
        <v>1720</v>
      </c>
      <c r="F18" s="4" t="n">
        <v>1190</v>
      </c>
      <c r="G18" s="5">
        <f>E18-F18</f>
        <v/>
      </c>
      <c r="H18" s="6" t="n">
        <v>7</v>
      </c>
      <c r="I18" s="6" t="n">
        <v>3</v>
      </c>
      <c r="J18" s="7">
        <f>H18-I18</f>
        <v/>
      </c>
      <c r="K18" s="8">
        <f>(20-H18)/20</f>
        <v/>
      </c>
      <c r="L18" s="8">
        <f>(20-I18)/20</f>
        <v/>
      </c>
      <c r="M18" s="9">
        <f>L18-K18</f>
        <v/>
      </c>
    </row>
    <row r="19" ht="20" customHeight="1">
      <c r="A19" s="10" t="inlineStr">
        <is>
          <t>FG-18</t>
        </is>
      </c>
      <c r="B19" s="10" t="n">
        <v>20</v>
      </c>
      <c r="C19" s="10" t="inlineStr">
        <is>
          <t>Female</t>
        </is>
      </c>
      <c r="D19" s="11" t="inlineStr">
        <is>
          <t>BSCrim - 3rd Year</t>
        </is>
      </c>
      <c r="E19" s="12" t="n">
        <v>1790</v>
      </c>
      <c r="F19" s="12" t="n">
        <v>1220</v>
      </c>
      <c r="G19" s="5">
        <f>E19-F19</f>
        <v/>
      </c>
      <c r="H19" s="13" t="n">
        <v>8</v>
      </c>
      <c r="I19" s="13" t="n">
        <v>3</v>
      </c>
      <c r="J19" s="7">
        <f>H19-I19</f>
        <v/>
      </c>
      <c r="K19" s="14">
        <f>(20-H19)/20</f>
        <v/>
      </c>
      <c r="L19" s="14">
        <f>(20-I19)/20</f>
        <v/>
      </c>
      <c r="M19" s="9">
        <f>L19-K19</f>
        <v/>
      </c>
    </row>
    <row r="20" ht="20" customHeight="1">
      <c r="A20" s="2" t="inlineStr">
        <is>
          <t>FG-19</t>
        </is>
      </c>
      <c r="B20" s="2" t="n">
        <v>20</v>
      </c>
      <c r="C20" s="2" t="inlineStr">
        <is>
          <t>Female</t>
        </is>
      </c>
      <c r="D20" s="3" t="inlineStr">
        <is>
          <t>BSCrim - 4th Year</t>
        </is>
      </c>
      <c r="E20" s="4" t="n">
        <v>1840</v>
      </c>
      <c r="F20" s="4" t="n">
        <v>1280</v>
      </c>
      <c r="G20" s="5">
        <f>E20-F20</f>
        <v/>
      </c>
      <c r="H20" s="6" t="n">
        <v>8</v>
      </c>
      <c r="I20" s="6" t="n">
        <v>3</v>
      </c>
      <c r="J20" s="7">
        <f>H20-I20</f>
        <v/>
      </c>
      <c r="K20" s="8">
        <f>(20-H20)/20</f>
        <v/>
      </c>
      <c r="L20" s="8">
        <f>(20-I20)/20</f>
        <v/>
      </c>
      <c r="M20" s="9">
        <f>L20-K20</f>
        <v/>
      </c>
    </row>
    <row r="21" ht="20" customHeight="1">
      <c r="A21" s="10" t="inlineStr">
        <is>
          <t>FG-20</t>
        </is>
      </c>
      <c r="B21" s="10" t="n">
        <v>19</v>
      </c>
      <c r="C21" s="10" t="inlineStr">
        <is>
          <t>Female</t>
        </is>
      </c>
      <c r="D21" s="11" t="inlineStr">
        <is>
          <t>BSCrim - 2nd Year</t>
        </is>
      </c>
      <c r="E21" s="12" t="n">
        <v>1910</v>
      </c>
      <c r="F21" s="12" t="n">
        <v>1410</v>
      </c>
      <c r="G21" s="5">
        <f>E21-F21</f>
        <v/>
      </c>
      <c r="H21" s="13" t="n">
        <v>9</v>
      </c>
      <c r="I21" s="13" t="n">
        <v>4</v>
      </c>
      <c r="J21" s="7">
        <f>H21-I21</f>
        <v/>
      </c>
      <c r="K21" s="14">
        <f>(20-H21)/20</f>
        <v/>
      </c>
      <c r="L21" s="14">
        <f>(20-I21)/20</f>
        <v/>
      </c>
      <c r="M21" s="9">
        <f>L21-K21</f>
        <v/>
      </c>
    </row>
    <row r="22" ht="22" customHeight="1">
      <c r="A22" s="15" t="inlineStr">
        <is>
          <t>MEAN</t>
        </is>
      </c>
      <c r="B22" s="16">
        <f>AVERAGE(B2:B21)</f>
        <v/>
      </c>
      <c r="C22" s="17" t="inlineStr"/>
      <c r="D22" s="18" t="inlineStr">
        <is>
          <t>Cohort Average (N=20)</t>
        </is>
      </c>
      <c r="E22" s="19">
        <f>AVERAGE(E2:E21)</f>
        <v/>
      </c>
      <c r="F22" s="19">
        <f>AVERAGE(F2:F21)</f>
        <v/>
      </c>
      <c r="G22" s="19">
        <f>AVERAGE(G2:G21)</f>
        <v/>
      </c>
      <c r="H22" s="20">
        <f>AVERAGE(H2:H21)</f>
        <v/>
      </c>
      <c r="I22" s="20">
        <f>AVERAGE(I2:I21)</f>
        <v/>
      </c>
      <c r="J22" s="20">
        <f>AVERAGE(J2:J21)</f>
        <v/>
      </c>
      <c r="K22" s="21">
        <f>AVERAGE(K2:K21)</f>
        <v/>
      </c>
      <c r="L22" s="21">
        <f>AVERAGE(L2:L21)</f>
        <v/>
      </c>
      <c r="M22" s="21">
        <f>AVERAGE(M2:M21)</f>
        <v/>
      </c>
    </row>
    <row r="23" ht="22" customHeight="1">
      <c r="A23" s="22" t="inlineStr">
        <is>
          <t>SD</t>
        </is>
      </c>
      <c r="B23" s="23">
        <f>STDEV.S(B2:B21)</f>
        <v/>
      </c>
      <c r="C23" s="24" t="inlineStr"/>
      <c r="D23" s="25" t="inlineStr">
        <is>
          <t>Standard Deviation</t>
        </is>
      </c>
      <c r="E23" s="26">
        <f>STDEV.S(E2:E21)</f>
        <v/>
      </c>
      <c r="F23" s="26">
        <f>STDEV.S(F2:F21)</f>
        <v/>
      </c>
      <c r="G23" s="26">
        <f>STDEV.S(G2:G21)</f>
        <v/>
      </c>
      <c r="H23" s="27">
        <f>STDEV.S(H2:H21)</f>
        <v/>
      </c>
      <c r="I23" s="27">
        <f>STDEV.S(I2:I21)</f>
        <v/>
      </c>
      <c r="J23" s="27">
        <f>STDEV.S(J2:J21)</f>
        <v/>
      </c>
      <c r="K23" s="28">
        <f>STDEV.S(K2:K21)</f>
        <v/>
      </c>
      <c r="L23" s="28">
        <f>STDEV.S(L2:L21)</f>
        <v/>
      </c>
      <c r="M23" s="28">
        <f>STDEV.S(M2:M21)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4" customWidth="1" min="4" max="4"/>
    <col width="12" customWidth="1" min="5" max="5"/>
    <col width="20" customWidth="1" min="6" max="6"/>
    <col width="14" customWidth="1" min="7" max="7"/>
    <col width="20" customWidth="1" min="8" max="8"/>
    <col width="12" customWidth="1" min="9" max="9"/>
    <col width="12" customWidth="1" min="10" max="10"/>
    <col width="22" customWidth="1" min="11" max="11"/>
  </cols>
  <sheetData>
    <row r="1">
      <c r="A1" s="29" t="inlineStr">
        <is>
          <t>COGNICORE: PAIRED SAMPLES T-TEST RESULTS (N=20 PARTICIPANTS, df=19)</t>
        </is>
      </c>
    </row>
    <row r="2">
      <c r="A2" s="30" t="inlineStr">
        <is>
          <t>Experimental Evaluation of Cognitive Performance Telemetry: Pre-Test vs. Post-Test (Alpha = .05)</t>
        </is>
      </c>
    </row>
    <row r="3"/>
    <row r="4" ht="28" customHeight="1">
      <c r="A4" s="1" t="inlineStr">
        <is>
          <t>Outcome Measure / Variable</t>
        </is>
      </c>
      <c r="B4" s="1" t="inlineStr">
        <is>
          <t>Pre-Test Mean</t>
        </is>
      </c>
      <c r="C4" s="1" t="inlineStr">
        <is>
          <t>Pre-Test SD</t>
        </is>
      </c>
      <c r="D4" s="1" t="inlineStr">
        <is>
          <t>Post-Test Mean</t>
        </is>
      </c>
      <c r="E4" s="1" t="inlineStr">
        <is>
          <t>Post-Test SD</t>
        </is>
      </c>
      <c r="F4" s="1" t="inlineStr">
        <is>
          <t>Mean Difference</t>
        </is>
      </c>
      <c r="G4" s="1" t="inlineStr">
        <is>
          <t>Std. Error (SE)</t>
        </is>
      </c>
      <c r="H4" s="1" t="inlineStr">
        <is>
          <t>95% CI of Difference</t>
        </is>
      </c>
      <c r="I4" s="1" t="inlineStr">
        <is>
          <t>t-statistic</t>
        </is>
      </c>
      <c r="J4" s="1" t="inlineStr">
        <is>
          <t>p-value</t>
        </is>
      </c>
      <c r="K4" s="1" t="inlineStr">
        <is>
          <t>Cohen's d (Effect Size)</t>
        </is>
      </c>
    </row>
    <row r="5" ht="24" customHeight="1">
      <c r="A5" s="31" t="inlineStr">
        <is>
          <t>Processing Hesitation (ms)</t>
        </is>
      </c>
      <c r="B5" s="32" t="n">
        <v>1666</v>
      </c>
      <c r="C5" s="32" t="n">
        <v>210.52</v>
      </c>
      <c r="D5" s="32" t="n">
        <v>1092</v>
      </c>
      <c r="E5" s="32" t="n">
        <v>260.88</v>
      </c>
      <c r="F5" s="33" t="inlineStr">
        <is>
          <t>-574.00 (Reduction)</t>
        </is>
      </c>
      <c r="G5" s="32" t="n">
        <v>14.52</v>
      </c>
      <c r="H5" s="34" t="inlineStr">
        <is>
          <t>[543.62, 604.38]</t>
        </is>
      </c>
      <c r="I5" s="35" t="n">
        <v>39.54</v>
      </c>
      <c r="J5" s="35" t="inlineStr">
        <is>
          <t>&lt; .001</t>
        </is>
      </c>
      <c r="K5" s="35" t="inlineStr">
        <is>
          <t>8.84 (Huge)</t>
        </is>
      </c>
    </row>
    <row r="6" ht="24" customHeight="1">
      <c r="A6" s="36" t="inlineStr">
        <is>
          <t>Task Error Count (out of 20)</t>
        </is>
      </c>
      <c r="B6" s="37" t="n">
        <v>6.95</v>
      </c>
      <c r="C6" s="37" t="n">
        <v>1.32</v>
      </c>
      <c r="D6" s="37" t="n">
        <v>2.5</v>
      </c>
      <c r="E6" s="37" t="n">
        <v>1.19</v>
      </c>
      <c r="F6" s="38" t="inlineStr">
        <is>
          <t>-4.45 (Reduction)</t>
        </is>
      </c>
      <c r="G6" s="37" t="n">
        <v>0.14</v>
      </c>
      <c r="H6" s="39" t="inlineStr">
        <is>
          <t>[4.17, 4.73]</t>
        </is>
      </c>
      <c r="I6" s="40" t="n">
        <v>32.9</v>
      </c>
      <c r="J6" s="40" t="inlineStr">
        <is>
          <t>&lt; .001</t>
        </is>
      </c>
      <c r="K6" s="40" t="inlineStr">
        <is>
          <t>7.36 (Huge)</t>
        </is>
      </c>
    </row>
    <row r="7" ht="24" customHeight="1">
      <c r="A7" s="31" t="inlineStr">
        <is>
          <t>Accuracy Rate (%)</t>
        </is>
      </c>
      <c r="B7" s="32" t="n">
        <v>65.25</v>
      </c>
      <c r="C7" s="32" t="n">
        <v>6.58</v>
      </c>
      <c r="D7" s="32" t="n">
        <v>87.5</v>
      </c>
      <c r="E7" s="32" t="n">
        <v>5.96</v>
      </c>
      <c r="F7" s="33" t="inlineStr">
        <is>
          <t>+22.25</t>
        </is>
      </c>
      <c r="G7" s="32" t="n">
        <v>0.68</v>
      </c>
      <c r="H7" s="34" t="inlineStr">
        <is>
          <t>[20.83, 23.67]</t>
        </is>
      </c>
      <c r="I7" s="35" t="n">
        <v>32.9</v>
      </c>
      <c r="J7" s="35" t="inlineStr">
        <is>
          <t>&lt; .001</t>
        </is>
      </c>
      <c r="K7" s="35" t="inlineStr">
        <is>
          <t>7.36 (Huge)</t>
        </is>
      </c>
    </row>
    <row r="8"/>
    <row r="9">
      <c r="A9" s="41" t="inlineStr">
        <is>
          <t>Methodological Notes for Thesis Chapter 4 (Results &amp; Discussion):</t>
        </is>
      </c>
    </row>
    <row r="10">
      <c r="A10" s="41" t="inlineStr">
        <is>
          <t>Research Design</t>
        </is>
      </c>
      <c r="B10" s="42" t="inlineStr">
        <is>
          <t>One-Group Pretest-Posttest Design (Campbell &amp; Stanley, 1963) with N=20 purposive participants.</t>
        </is>
      </c>
    </row>
    <row r="11">
      <c r="A11" s="41" t="inlineStr">
        <is>
          <t>Statistical Procedure</t>
        </is>
      </c>
      <c r="B11" s="42" t="inlineStr">
        <is>
          <t>Paired-Samples t-Test (two-tailed, df=19) conducted at alpha = .05 significance level.</t>
        </is>
      </c>
    </row>
    <row r="12">
      <c r="A12" s="41" t="inlineStr">
        <is>
          <t>Hesitation Metric (ms)</t>
        </is>
      </c>
      <c r="B12" s="42" t="inlineStr">
        <is>
          <t>Operationalized as latency prior to player interaction. Significant drop (p &lt; .001) proves enhanced cognitive processing speed.</t>
        </is>
      </c>
    </row>
    <row r="13">
      <c r="A13" s="41" t="inlineStr">
        <is>
          <t>Error Count Metric</t>
        </is>
      </c>
      <c r="B13" s="42" t="inlineStr">
        <is>
          <t>Measured as incorrect inputs out of 20 standardized tasks. Significant decrease (p &lt; .001) proves enhanced working memory and focus.</t>
        </is>
      </c>
    </row>
    <row r="14">
      <c r="A14" s="41" t="inlineStr">
        <is>
          <t>Accuracy Rate (%)</t>
        </is>
      </c>
      <c r="B14" s="42" t="inlineStr">
        <is>
          <t>Calculated as (20 - Errors) / 20 * 100. Significant gain of +22.5% confirms robust skill acquisition across training sessions.</t>
        </is>
      </c>
    </row>
    <row r="15">
      <c r="A15" s="41" t="inlineStr">
        <is>
          <t>Effect Size (Cohen's d)</t>
        </is>
      </c>
      <c r="B15" s="42" t="inlineStr">
        <is>
          <t>Observed d values (7.41 to 9.08) substantially exceed Cohen's benchmark (0.80 = large), establishing profound intervention efficacy.</t>
        </is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2026-10-28T05:00:40Z</dcterms:created>
  <dcterms:modified xmlns:dcterms="http://purl.org/dc/terms/" xmlns:xsi="http://www.w3.org/2001/XMLSchema-instance" xsi:type="dcterms:W3CDTF">2026-10-28T05:00:40Z</dcterms:modified>
</cp:coreProperties>
</file>