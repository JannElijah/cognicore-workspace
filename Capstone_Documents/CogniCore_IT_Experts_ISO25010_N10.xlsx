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tors &amp; Raw Ratings" sheetId="1" state="visible" r:id="rId1"/>
    <sheet xmlns:r="http://schemas.openxmlformats.org/officeDocument/2006/relationships" name="Numeric Matrix (SPSS Ready)" sheetId="2" state="visible" r:id="rId2"/>
    <sheet xmlns:r="http://schemas.openxmlformats.org/officeDocument/2006/relationships" name="ISO 25010 Summary Tab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B"/>
        <bgColor rgb="00F9FAFB"/>
      </patternFill>
    </fill>
    <fill>
      <patternFill patternType="solid">
        <fgColor rgb="00EAEEF7"/>
        <bgColor rgb="00EAEEF7"/>
      </patternFill>
    </fill>
    <fill>
      <patternFill patternType="solid">
        <fgColor rgb="002F5597"/>
        <bgColor rgb="002F5597"/>
      </patternFill>
    </fill>
    <fill>
      <patternFill patternType="solid">
        <fgColor rgb="00B4C6E7"/>
        <bgColor rgb="00B4C6E7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" fontId="5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" fontId="5" fillId="3" borderId="2" applyAlignment="1" pivotButton="0" quotePrefix="0" xfId="0">
      <alignment horizontal="center" vertical="center"/>
    </xf>
    <xf numFmtId="2" fontId="4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/>
    </xf>
    <xf numFmtId="0" fontId="0" fillId="4" borderId="3" pivotButton="0" quotePrefix="0" xfId="0"/>
    <xf numFmtId="2" fontId="4" fillId="4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righ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0" fillId="4" borderId="2" pivotButton="0" quotePrefix="0" xfId="0"/>
    <xf numFmtId="2" fontId="4" fillId="4" borderId="2" applyAlignment="1" pivotButton="0" quotePrefix="0" xfId="0">
      <alignment horizontal="center" vertical="center"/>
    </xf>
    <xf numFmtId="2" fontId="4" fillId="4" borderId="2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2" fontId="5" fillId="0" borderId="2" applyAlignment="1" pivotButton="0" quotePrefix="0" xfId="0">
      <alignment horizontal="right" vertical="center"/>
    </xf>
    <xf numFmtId="2" fontId="5" fillId="3" borderId="2" applyAlignment="1" pivotButton="0" quotePrefix="0" xfId="0">
      <alignment horizontal="right" vertical="center"/>
    </xf>
    <xf numFmtId="0" fontId="4" fillId="6" borderId="3" applyAlignment="1" pivotButton="0" quotePrefix="0" xfId="0">
      <alignment horizontal="left" vertical="center"/>
    </xf>
    <xf numFmtId="0" fontId="4" fillId="6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right" vertical="center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18" customWidth="1" min="4" max="4"/>
    <col width="16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6" customWidth="1" min="21" max="21"/>
    <col width="22" customWidth="1" min="22" max="22"/>
    <col width="38" customWidth="1" min="23" max="23"/>
  </cols>
  <sheetData>
    <row r="1">
      <c r="A1" s="1" t="inlineStr">
        <is>
          <t>COGNICORE: ISO/IEC 25010 SOFTWARE QUALITY TECHNICAL EVALUATION (N=10)</t>
        </is>
      </c>
    </row>
    <row r="2">
      <c r="A2" s="2" t="inlineStr">
        <is>
          <t>Evaluator Profiles, Item Responses (Q1-Q15), and Descriptive Statistics (Scale: 5-Excellent, 4-Very Good, 3-Good, 2-Fair, 1-Poor)</t>
        </is>
      </c>
    </row>
    <row r="3"/>
    <row r="4" ht="28" customHeight="1">
      <c r="A4" s="3" t="inlineStr">
        <is>
          <t>Evaluator ID</t>
        </is>
      </c>
      <c r="B4" s="3" t="inlineStr">
        <is>
          <t>Evaluator Name</t>
        </is>
      </c>
      <c r="C4" s="3" t="inlineStr">
        <is>
          <t>Profession / IT Designation</t>
        </is>
      </c>
      <c r="D4" s="3" t="inlineStr">
        <is>
          <t>Years of Exp</t>
        </is>
      </c>
      <c r="E4" s="3" t="inlineStr">
        <is>
          <t>Date Evaluated</t>
        </is>
      </c>
      <c r="F4" s="3" t="inlineStr">
        <is>
          <t>Q01 (Func)</t>
        </is>
      </c>
      <c r="G4" s="3" t="inlineStr">
        <is>
          <t>Q02 (Func)</t>
        </is>
      </c>
      <c r="H4" s="3" t="inlineStr">
        <is>
          <t>Q03 (Func)</t>
        </is>
      </c>
      <c r="I4" s="3" t="inlineStr">
        <is>
          <t>Q04 (Sec)</t>
        </is>
      </c>
      <c r="J4" s="3" t="inlineStr">
        <is>
          <t>Q05 (Maint)</t>
        </is>
      </c>
      <c r="K4" s="3" t="inlineStr">
        <is>
          <t>Q06 (Maint)</t>
        </is>
      </c>
      <c r="L4" s="3" t="inlineStr">
        <is>
          <t>Q07 (Port)</t>
        </is>
      </c>
      <c r="M4" s="3" t="inlineStr">
        <is>
          <t>Q08 (Perf)</t>
        </is>
      </c>
      <c r="N4" s="3" t="inlineStr">
        <is>
          <t>Q09 (Perf)</t>
        </is>
      </c>
      <c r="O4" s="3" t="inlineStr">
        <is>
          <t>Q10 (Comp)</t>
        </is>
      </c>
      <c r="P4" s="3" t="inlineStr">
        <is>
          <t>Q11 (Comp)</t>
        </is>
      </c>
      <c r="Q4" s="3" t="inlineStr">
        <is>
          <t>Q12 (Usab)</t>
        </is>
      </c>
      <c r="R4" s="3" t="inlineStr">
        <is>
          <t>Q13 (Usab)</t>
        </is>
      </c>
      <c r="S4" s="3" t="inlineStr">
        <is>
          <t>Q14 (Rel)</t>
        </is>
      </c>
      <c r="T4" s="3" t="inlineStr">
        <is>
          <t>Q15 (Rel)</t>
        </is>
      </c>
      <c r="U4" s="3" t="inlineStr">
        <is>
          <t>Evaluator Mean</t>
        </is>
      </c>
      <c r="V4" s="3" t="inlineStr">
        <is>
          <t>Verbal Interpretation</t>
        </is>
      </c>
      <c r="W4" s="3" t="inlineStr">
        <is>
          <t>Evaluator Remarks &amp; Recommendations</t>
        </is>
      </c>
    </row>
    <row r="5" ht="20" customHeight="1">
      <c r="A5" s="4" t="inlineStr">
        <is>
          <t>EXP-01</t>
        </is>
      </c>
      <c r="B5" s="5" t="inlineStr">
        <is>
          <t>Sarah Jane Limpiado</t>
        </is>
      </c>
      <c r="C5" s="5" t="inlineStr">
        <is>
          <t>Operations Quality Auditor</t>
        </is>
      </c>
      <c r="D5" s="4" t="n">
        <v>9</v>
      </c>
      <c r="E5" s="4" t="inlineStr">
        <is>
          <t>2026-10-14</t>
        </is>
      </c>
      <c r="F5" s="6" t="n">
        <v>5</v>
      </c>
      <c r="G5" s="6" t="n">
        <v>5</v>
      </c>
      <c r="H5" s="6" t="n">
        <v>5</v>
      </c>
      <c r="I5" s="6" t="n">
        <v>5</v>
      </c>
      <c r="J5" s="6" t="n">
        <v>5</v>
      </c>
      <c r="K5" s="6" t="n">
        <v>5</v>
      </c>
      <c r="L5" s="6" t="n">
        <v>5</v>
      </c>
      <c r="M5" s="6" t="n">
        <v>5</v>
      </c>
      <c r="N5" s="6" t="n">
        <v>5</v>
      </c>
      <c r="O5" s="6" t="n">
        <v>5</v>
      </c>
      <c r="P5" s="6" t="n">
        <v>5</v>
      </c>
      <c r="Q5" s="6" t="n">
        <v>5</v>
      </c>
      <c r="R5" s="6" t="n">
        <v>5</v>
      </c>
      <c r="S5" s="6" t="n">
        <v>5</v>
      </c>
      <c r="T5" s="6" t="n">
        <v>5</v>
      </c>
      <c r="U5" s="7">
        <f>AVERAGE(F5:T5)</f>
        <v/>
      </c>
      <c r="V5" s="8">
        <f>IF(U5&gt;=4.2,"Excellent",IF(U5&gt;=3.4,"Very Good",IF(U5&gt;=2.6,"Good",IF(U5&gt;=1.8,"Fair","Poor"))))</f>
        <v/>
      </c>
      <c r="W5" s="5" t="inlineStr"/>
    </row>
    <row r="6" ht="20" customHeight="1">
      <c r="A6" s="9" t="inlineStr">
        <is>
          <t>EXP-02</t>
        </is>
      </c>
      <c r="B6" s="10" t="inlineStr">
        <is>
          <t>Abby Briones</t>
        </is>
      </c>
      <c r="C6" s="10" t="inlineStr">
        <is>
          <t>IT Support</t>
        </is>
      </c>
      <c r="D6" s="9" t="n">
        <v>3</v>
      </c>
      <c r="E6" s="9" t="inlineStr">
        <is>
          <t>2026-10-13</t>
        </is>
      </c>
      <c r="F6" s="11" t="n">
        <v>5</v>
      </c>
      <c r="G6" s="11" t="n">
        <v>4</v>
      </c>
      <c r="H6" s="11" t="n">
        <v>4</v>
      </c>
      <c r="I6" s="11" t="n">
        <v>4</v>
      </c>
      <c r="J6" s="11" t="n">
        <v>4</v>
      </c>
      <c r="K6" s="11" t="n">
        <v>5</v>
      </c>
      <c r="L6" s="11" t="n">
        <v>4</v>
      </c>
      <c r="M6" s="11" t="n">
        <v>5</v>
      </c>
      <c r="N6" s="11" t="n">
        <v>4</v>
      </c>
      <c r="O6" s="11" t="n">
        <v>4</v>
      </c>
      <c r="P6" s="11" t="n">
        <v>4</v>
      </c>
      <c r="Q6" s="9" t="n"/>
      <c r="R6" s="9" t="n"/>
      <c r="S6" s="11" t="n">
        <v>5</v>
      </c>
      <c r="T6" s="11" t="n">
        <v>5</v>
      </c>
      <c r="U6" s="12">
        <f>AVERAGE(F6:T6)</f>
        <v/>
      </c>
      <c r="V6" s="13">
        <f>IF(U6&gt;=4.2,"Excellent",IF(U6&gt;=3.4,"Very Good",IF(U6&gt;=2.6,"Good",IF(U6&gt;=1.8,"Fair","Poor"))))</f>
        <v/>
      </c>
      <c r="W6" s="10" t="inlineStr"/>
    </row>
    <row r="7" ht="20" customHeight="1">
      <c r="A7" s="4" t="inlineStr">
        <is>
          <t>EXP-03</t>
        </is>
      </c>
      <c r="B7" s="5" t="inlineStr">
        <is>
          <t>Aldwin Legaspi</t>
        </is>
      </c>
      <c r="C7" s="5" t="inlineStr">
        <is>
          <t>IT Service Desk</t>
        </is>
      </c>
      <c r="D7" s="4" t="n">
        <v>4</v>
      </c>
      <c r="E7" s="4" t="inlineStr">
        <is>
          <t>2026-10-08</t>
        </is>
      </c>
      <c r="F7" s="6" t="n">
        <v>5</v>
      </c>
      <c r="G7" s="6" t="n">
        <v>5</v>
      </c>
      <c r="H7" s="6" t="n">
        <v>4</v>
      </c>
      <c r="I7" s="6" t="n">
        <v>5</v>
      </c>
      <c r="J7" s="6" t="n">
        <v>4</v>
      </c>
      <c r="K7" s="6" t="n">
        <v>5</v>
      </c>
      <c r="L7" s="6" t="n">
        <v>4</v>
      </c>
      <c r="M7" s="6" t="n">
        <v>5</v>
      </c>
      <c r="N7" s="6" t="n">
        <v>5</v>
      </c>
      <c r="O7" s="6" t="n">
        <v>5</v>
      </c>
      <c r="P7" s="6" t="n">
        <v>5</v>
      </c>
      <c r="Q7" s="6" t="n">
        <v>4</v>
      </c>
      <c r="R7" s="6" t="n">
        <v>5</v>
      </c>
      <c r="S7" s="6" t="n">
        <v>5</v>
      </c>
      <c r="T7" s="6" t="n">
        <v>5</v>
      </c>
      <c r="U7" s="7">
        <f>AVERAGE(F7:T7)</f>
        <v/>
      </c>
      <c r="V7" s="8">
        <f>IF(U7&gt;=4.2,"Excellent",IF(U7&gt;=3.4,"Very Good",IF(U7&gt;=2.6,"Good",IF(U7&gt;=1.8,"Fair","Poor"))))</f>
        <v/>
      </c>
      <c r="W7" s="5" t="inlineStr"/>
    </row>
    <row r="8" ht="20" customHeight="1">
      <c r="A8" s="9" t="inlineStr">
        <is>
          <t>EXP-04</t>
        </is>
      </c>
      <c r="B8" s="10" t="inlineStr">
        <is>
          <t>Anonymous (IT-1)</t>
        </is>
      </c>
      <c r="C8" s="10" t="inlineStr">
        <is>
          <t>IT Helpdesk</t>
        </is>
      </c>
      <c r="D8" s="9" t="n">
        <v>4</v>
      </c>
      <c r="E8" s="9" t="inlineStr">
        <is>
          <t>2026-10-13</t>
        </is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  <c r="M8" s="11" t="n">
        <v>5</v>
      </c>
      <c r="N8" s="11" t="n">
        <v>5</v>
      </c>
      <c r="O8" s="11" t="n">
        <v>5</v>
      </c>
      <c r="P8" s="11" t="n">
        <v>5</v>
      </c>
      <c r="Q8" s="11" t="n">
        <v>5</v>
      </c>
      <c r="R8" s="11" t="n">
        <v>5</v>
      </c>
      <c r="S8" s="11" t="n">
        <v>5</v>
      </c>
      <c r="T8" s="11" t="n">
        <v>5</v>
      </c>
      <c r="U8" s="12">
        <f>AVERAGE(F8:T8)</f>
        <v/>
      </c>
      <c r="V8" s="13">
        <f>IF(U8&gt;=4.2,"Excellent",IF(U8&gt;=3.4,"Very Good",IF(U8&gt;=2.6,"Good",IF(U8&gt;=1.8,"Fair","Poor"))))</f>
        <v/>
      </c>
      <c r="W8" s="10" t="inlineStr"/>
    </row>
    <row r="9" ht="20" customHeight="1">
      <c r="A9" s="4" t="inlineStr">
        <is>
          <t>EXP-05</t>
        </is>
      </c>
      <c r="B9" s="5" t="inlineStr">
        <is>
          <t>Anonymous (IT-2)</t>
        </is>
      </c>
      <c r="C9" s="5" t="inlineStr">
        <is>
          <t>IT Helpdesk</t>
        </is>
      </c>
      <c r="D9" s="4" t="n">
        <v>2</v>
      </c>
      <c r="E9" s="4" t="inlineStr">
        <is>
          <t>2026-10-14</t>
        </is>
      </c>
      <c r="F9" s="6" t="n">
        <v>5</v>
      </c>
      <c r="G9" s="6" t="n">
        <v>5</v>
      </c>
      <c r="H9" s="6" t="n">
        <v>5</v>
      </c>
      <c r="I9" s="6" t="n">
        <v>5</v>
      </c>
      <c r="J9" s="6" t="n">
        <v>5</v>
      </c>
      <c r="K9" s="6" t="n">
        <v>5</v>
      </c>
      <c r="L9" s="6" t="n">
        <v>5</v>
      </c>
      <c r="M9" s="6" t="n">
        <v>5</v>
      </c>
      <c r="N9" s="6" t="n">
        <v>5</v>
      </c>
      <c r="O9" s="6" t="n">
        <v>4</v>
      </c>
      <c r="P9" s="6" t="n">
        <v>4</v>
      </c>
      <c r="Q9" s="6" t="n">
        <v>5</v>
      </c>
      <c r="R9" s="6" t="n">
        <v>4</v>
      </c>
      <c r="S9" s="6" t="n">
        <v>5</v>
      </c>
      <c r="T9" s="6" t="n">
        <v>5</v>
      </c>
      <c r="U9" s="7">
        <f>AVERAGE(F9:T9)</f>
        <v/>
      </c>
      <c r="V9" s="8">
        <f>IF(U9&gt;=4.2,"Excellent",IF(U9&gt;=3.4,"Very Good",IF(U9&gt;=2.6,"Good",IF(U9&gt;=1.8,"Fair","Poor"))))</f>
        <v/>
      </c>
      <c r="W9" s="5" t="inlineStr"/>
    </row>
    <row r="10" ht="20" customHeight="1">
      <c r="A10" s="9" t="inlineStr">
        <is>
          <t>EXP-06</t>
        </is>
      </c>
      <c r="B10" s="10" t="inlineStr">
        <is>
          <t>Clark Von Cabural</t>
        </is>
      </c>
      <c r="C10" s="10" t="inlineStr">
        <is>
          <t>IT Security Operations Analyst</t>
        </is>
      </c>
      <c r="D10" s="9" t="n">
        <v>7</v>
      </c>
      <c r="E10" s="9" t="inlineStr">
        <is>
          <t>2026-10-12</t>
        </is>
      </c>
      <c r="F10" s="11" t="n">
        <v>5</v>
      </c>
      <c r="G10" s="11" t="n">
        <v>4</v>
      </c>
      <c r="H10" s="11" t="n">
        <v>5</v>
      </c>
      <c r="I10" s="11" t="n">
        <v>4</v>
      </c>
      <c r="J10" s="11" t="n">
        <v>4</v>
      </c>
      <c r="K10" s="11" t="n">
        <v>5</v>
      </c>
      <c r="L10" s="11" t="n">
        <v>4</v>
      </c>
      <c r="M10" s="11" t="n">
        <v>5</v>
      </c>
      <c r="N10" s="11" t="n">
        <v>4</v>
      </c>
      <c r="O10" s="11" t="n">
        <v>4</v>
      </c>
      <c r="P10" s="11" t="n">
        <v>4</v>
      </c>
      <c r="Q10" s="9" t="n"/>
      <c r="R10" s="9" t="n"/>
      <c r="S10" s="11" t="n">
        <v>5</v>
      </c>
      <c r="T10" s="11" t="n">
        <v>5</v>
      </c>
      <c r="U10" s="12">
        <f>AVERAGE(F10:T10)</f>
        <v/>
      </c>
      <c r="V10" s="13">
        <f>IF(U10&gt;=4.2,"Excellent",IF(U10&gt;=3.4,"Very Good",IF(U10&gt;=2.6,"Good",IF(U10&gt;=1.8,"Fair","Poor"))))</f>
        <v/>
      </c>
      <c r="W10" s="10" t="inlineStr"/>
    </row>
    <row r="11" ht="20" customHeight="1">
      <c r="A11" s="4" t="inlineStr">
        <is>
          <t>EXP-07</t>
        </is>
      </c>
      <c r="B11" s="5" t="inlineStr">
        <is>
          <t>Fe Antonio</t>
        </is>
      </c>
      <c r="C11" s="5" t="inlineStr">
        <is>
          <t>IT Professor</t>
        </is>
      </c>
      <c r="D11" s="4" t="n">
        <v>2</v>
      </c>
      <c r="E11" s="4" t="inlineStr">
        <is>
          <t>2026-10-09</t>
        </is>
      </c>
      <c r="F11" s="6" t="n">
        <v>5</v>
      </c>
      <c r="G11" s="6" t="n">
        <v>5</v>
      </c>
      <c r="H11" s="6" t="n">
        <v>5</v>
      </c>
      <c r="I11" s="6" t="n">
        <v>5</v>
      </c>
      <c r="J11" s="6" t="n">
        <v>5</v>
      </c>
      <c r="K11" s="6" t="n">
        <v>5</v>
      </c>
      <c r="L11" s="6" t="n">
        <v>5</v>
      </c>
      <c r="M11" s="6" t="n">
        <v>5</v>
      </c>
      <c r="N11" s="6" t="n">
        <v>5</v>
      </c>
      <c r="O11" s="6" t="n">
        <v>5</v>
      </c>
      <c r="P11" s="6" t="n">
        <v>5</v>
      </c>
      <c r="Q11" s="6" t="n">
        <v>5</v>
      </c>
      <c r="R11" s="6" t="n">
        <v>5</v>
      </c>
      <c r="S11" s="6" t="n">
        <v>5</v>
      </c>
      <c r="T11" s="6" t="n">
        <v>5</v>
      </c>
      <c r="U11" s="7">
        <f>AVERAGE(F11:T11)</f>
        <v/>
      </c>
      <c r="V11" s="8">
        <f>IF(U11&gt;=4.2,"Excellent",IF(U11&gt;=3.4,"Very Good",IF(U11&gt;=2.6,"Good",IF(U11&gt;=1.8,"Fair","Poor"))))</f>
        <v/>
      </c>
      <c r="W11" s="5" t="inlineStr"/>
    </row>
    <row r="12" ht="20" customHeight="1">
      <c r="A12" s="9" t="inlineStr">
        <is>
          <t>EXP-08</t>
        </is>
      </c>
      <c r="B12" s="10" t="inlineStr">
        <is>
          <t>Homer Favenir</t>
        </is>
      </c>
      <c r="C12" s="10" t="inlineStr">
        <is>
          <t>Software Engineer</t>
        </is>
      </c>
      <c r="D12" s="9" t="n">
        <v>5</v>
      </c>
      <c r="E12" s="9" t="inlineStr">
        <is>
          <t>2026-10-12</t>
        </is>
      </c>
      <c r="F12" s="11" t="n">
        <v>5</v>
      </c>
      <c r="G12" s="11" t="n">
        <v>4</v>
      </c>
      <c r="H12" s="11" t="n">
        <v>5</v>
      </c>
      <c r="I12" s="11" t="n">
        <v>4</v>
      </c>
      <c r="J12" s="11" t="n">
        <v>5</v>
      </c>
      <c r="K12" s="11" t="n">
        <v>5</v>
      </c>
      <c r="L12" s="11" t="n">
        <v>4</v>
      </c>
      <c r="M12" s="11" t="n">
        <v>5</v>
      </c>
      <c r="N12" s="11" t="n">
        <v>4</v>
      </c>
      <c r="O12" s="11" t="n">
        <v>5</v>
      </c>
      <c r="P12" s="11" t="n">
        <v>4</v>
      </c>
      <c r="Q12" s="11" t="n">
        <v>5</v>
      </c>
      <c r="R12" s="11" t="n">
        <v>4</v>
      </c>
      <c r="S12" s="11" t="n">
        <v>4</v>
      </c>
      <c r="T12" s="11" t="n">
        <v>5</v>
      </c>
      <c r="U12" s="12">
        <f>AVERAGE(F12:T12)</f>
        <v/>
      </c>
      <c r="V12" s="13">
        <f>IF(U12&gt;=4.2,"Excellent",IF(U12&gt;=3.4,"Very Good",IF(U12&gt;=2.6,"Good",IF(U12&gt;=1.8,"Fair","Poor"))))</f>
        <v/>
      </c>
      <c r="W12" s="10" t="inlineStr"/>
    </row>
    <row r="13" ht="20" customHeight="1">
      <c r="A13" s="4" t="inlineStr">
        <is>
          <t>EXP-09</t>
        </is>
      </c>
      <c r="B13" s="5" t="inlineStr">
        <is>
          <t>Patrick G Gonzales</t>
        </is>
      </c>
      <c r="C13" s="5" t="inlineStr">
        <is>
          <t>Game Tester</t>
        </is>
      </c>
      <c r="D13" s="4" t="n">
        <v>2</v>
      </c>
      <c r="E13" s="4" t="inlineStr">
        <is>
          <t>2026-10-08</t>
        </is>
      </c>
      <c r="F13" s="6" t="n">
        <v>5</v>
      </c>
      <c r="G13" s="6" t="n">
        <v>5</v>
      </c>
      <c r="H13" s="6" t="n">
        <v>5</v>
      </c>
      <c r="I13" s="6" t="n">
        <v>4</v>
      </c>
      <c r="J13" s="6" t="n">
        <v>5</v>
      </c>
      <c r="K13" s="6" t="n">
        <v>4</v>
      </c>
      <c r="L13" s="6" t="n">
        <v>5</v>
      </c>
      <c r="M13" s="6" t="n">
        <v>5</v>
      </c>
      <c r="N13" s="6" t="n">
        <v>4</v>
      </c>
      <c r="O13" s="6" t="n">
        <v>5</v>
      </c>
      <c r="P13" s="6" t="n">
        <v>5</v>
      </c>
      <c r="Q13" s="6" t="n">
        <v>5</v>
      </c>
      <c r="R13" s="6" t="n">
        <v>5</v>
      </c>
      <c r="S13" s="6" t="n">
        <v>5</v>
      </c>
      <c r="T13" s="6" t="n">
        <v>4</v>
      </c>
      <c r="U13" s="7">
        <f>AVERAGE(F13:T13)</f>
        <v/>
      </c>
      <c r="V13" s="8">
        <f>IF(U13&gt;=4.2,"Excellent",IF(U13&gt;=3.4,"Very Good",IF(U13&gt;=2.6,"Good",IF(U13&gt;=1.8,"Fair","Poor"))))</f>
        <v/>
      </c>
      <c r="W13" s="5" t="inlineStr"/>
    </row>
    <row r="14" ht="20" customHeight="1">
      <c r="A14" s="9" t="inlineStr">
        <is>
          <t>EXP-10</t>
        </is>
      </c>
      <c r="B14" s="10" t="inlineStr">
        <is>
          <t>Roberto Malitao</t>
        </is>
      </c>
      <c r="C14" s="10" t="inlineStr">
        <is>
          <t>IT Consultant</t>
        </is>
      </c>
      <c r="D14" s="9" t="n">
        <v>3</v>
      </c>
      <c r="E14" s="9" t="inlineStr">
        <is>
          <t>2026-10-08</t>
        </is>
      </c>
      <c r="F14" s="11" t="n">
        <v>4</v>
      </c>
      <c r="G14" s="11" t="n">
        <v>4</v>
      </c>
      <c r="H14" s="11" t="n">
        <v>4</v>
      </c>
      <c r="I14" s="11" t="n">
        <v>4</v>
      </c>
      <c r="J14" s="11" t="n">
        <v>4</v>
      </c>
      <c r="K14" s="11" t="n">
        <v>4</v>
      </c>
      <c r="L14" s="11" t="n">
        <v>4</v>
      </c>
      <c r="M14" s="11" t="n">
        <v>4</v>
      </c>
      <c r="N14" s="11" t="n">
        <v>4</v>
      </c>
      <c r="O14" s="11" t="n">
        <v>4</v>
      </c>
      <c r="P14" s="11" t="n">
        <v>4</v>
      </c>
      <c r="Q14" s="11" t="n">
        <v>4</v>
      </c>
      <c r="R14" s="11" t="n">
        <v>4</v>
      </c>
      <c r="S14" s="11" t="n">
        <v>4</v>
      </c>
      <c r="T14" s="11" t="n">
        <v>4</v>
      </c>
      <c r="U14" s="12">
        <f>AVERAGE(F14:T14)</f>
        <v/>
      </c>
      <c r="V14" s="13">
        <f>IF(U14&gt;=4.2,"Excellent",IF(U14&gt;=3.4,"Very Good",IF(U14&gt;=2.6,"Good",IF(U14&gt;=1.8,"Fair","Poor"))))</f>
        <v/>
      </c>
      <c r="W14" s="10" t="inlineStr">
        <is>
          <t>Excellent! Keep it up!</t>
        </is>
      </c>
    </row>
    <row r="15" ht="22" customHeight="1">
      <c r="A15" s="14" t="inlineStr">
        <is>
          <t>MEAN</t>
        </is>
      </c>
      <c r="B15" s="15" t="inlineStr">
        <is>
          <t>Item / Subscale Means</t>
        </is>
      </c>
      <c r="C15" s="16" t="inlineStr"/>
      <c r="D15" s="17">
        <f>AVERAGE(D5:D14)</f>
        <v/>
      </c>
      <c r="E15" s="16" t="inlineStr"/>
      <c r="F15" s="17">
        <f>AVERAGE(F5:F14)</f>
        <v/>
      </c>
      <c r="G15" s="17">
        <f>AVERAGE(G5:G14)</f>
        <v/>
      </c>
      <c r="H15" s="17">
        <f>AVERAGE(H5:H14)</f>
        <v/>
      </c>
      <c r="I15" s="17">
        <f>AVERAGE(I5:I14)</f>
        <v/>
      </c>
      <c r="J15" s="17">
        <f>AVERAGE(J5:J14)</f>
        <v/>
      </c>
      <c r="K15" s="17">
        <f>AVERAGE(K5:K14)</f>
        <v/>
      </c>
      <c r="L15" s="17">
        <f>AVERAGE(L5:L14)</f>
        <v/>
      </c>
      <c r="M15" s="17">
        <f>AVERAGE(M5:M14)</f>
        <v/>
      </c>
      <c r="N15" s="17">
        <f>AVERAGE(N5:N14)</f>
        <v/>
      </c>
      <c r="O15" s="17">
        <f>AVERAGE(O5:O14)</f>
        <v/>
      </c>
      <c r="P15" s="17">
        <f>AVERAGE(P5:P14)</f>
        <v/>
      </c>
      <c r="Q15" s="17">
        <f>AVERAGE(Q5:Q14)</f>
        <v/>
      </c>
      <c r="R15" s="17">
        <f>AVERAGE(R5:R14)</f>
        <v/>
      </c>
      <c r="S15" s="17">
        <f>AVERAGE(S5:S14)</f>
        <v/>
      </c>
      <c r="T15" s="17">
        <f>AVERAGE(T5:T14)</f>
        <v/>
      </c>
      <c r="U15" s="18">
        <f>AVERAGE(U5:U14)</f>
        <v/>
      </c>
      <c r="V15" s="14">
        <f>IF(U15&gt;=4.2,"Excellent",IF(U15&gt;=3.4,"Very Good",IF(U15&gt;=2.6,"Good",IF(U15&gt;=1.8,"Fair","Poor"))))</f>
        <v/>
      </c>
      <c r="W15" s="16" t="inlineStr">
        <is>
          <t>Overall Software Quality Mean</t>
        </is>
      </c>
    </row>
    <row r="16" ht="22" customHeight="1">
      <c r="A16" s="19" t="inlineStr">
        <is>
          <t>SD</t>
        </is>
      </c>
      <c r="B16" s="20" t="inlineStr">
        <is>
          <t>Standard Deviations (Sample SD)</t>
        </is>
      </c>
      <c r="C16" s="21" t="inlineStr"/>
      <c r="D16" s="22">
        <f>STDEV.S(D5:D14)</f>
        <v/>
      </c>
      <c r="E16" s="21" t="inlineStr"/>
      <c r="F16" s="22">
        <f>STDEV.S(F5:F14)</f>
        <v/>
      </c>
      <c r="G16" s="22">
        <f>STDEV.S(G5:G14)</f>
        <v/>
      </c>
      <c r="H16" s="22">
        <f>STDEV.S(H5:H14)</f>
        <v/>
      </c>
      <c r="I16" s="22">
        <f>STDEV.S(I5:I14)</f>
        <v/>
      </c>
      <c r="J16" s="22">
        <f>STDEV.S(J5:J14)</f>
        <v/>
      </c>
      <c r="K16" s="22">
        <f>STDEV.S(K5:K14)</f>
        <v/>
      </c>
      <c r="L16" s="22">
        <f>STDEV.S(L5:L14)</f>
        <v/>
      </c>
      <c r="M16" s="22">
        <f>STDEV.S(M5:M14)</f>
        <v/>
      </c>
      <c r="N16" s="22">
        <f>STDEV.S(N5:N14)</f>
        <v/>
      </c>
      <c r="O16" s="22">
        <f>STDEV.S(O5:O14)</f>
        <v/>
      </c>
      <c r="P16" s="22">
        <f>STDEV.S(P5:P14)</f>
        <v/>
      </c>
      <c r="Q16" s="22">
        <f>STDEV.S(Q5:Q14)</f>
        <v/>
      </c>
      <c r="R16" s="22">
        <f>STDEV.S(R5:R14)</f>
        <v/>
      </c>
      <c r="S16" s="22">
        <f>STDEV.S(S5:S14)</f>
        <v/>
      </c>
      <c r="T16" s="22">
        <f>STDEV.S(T5:T14)</f>
        <v/>
      </c>
      <c r="U16" s="23">
        <f>STDEV.S(U5:U14)</f>
        <v/>
      </c>
      <c r="V16" s="21" t="inlineStr"/>
      <c r="W16" s="21" t="inlineStr">
        <is>
          <t>Evaluator-Level SD (N=10)</t>
        </is>
      </c>
    </row>
  </sheetData>
  <mergeCells count="2">
    <mergeCell ref="A2:W2"/>
    <mergeCell ref="A1:W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2" customWidth="1" min="3" max="3"/>
    <col width="18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20" customWidth="1" min="21" max="21"/>
    <col width="20" customWidth="1" min="22" max="22"/>
    <col width="11" customWidth="1" min="23" max="23"/>
    <col width="20" customWidth="1" min="24" max="24"/>
    <col width="20" customWidth="1" min="25" max="25"/>
    <col width="46" customWidth="1" min="26" max="26"/>
    <col width="20" customWidth="1" min="27" max="27"/>
    <col width="20" customWidth="1" min="28" max="28"/>
  </cols>
  <sheetData>
    <row r="1" ht="28" customHeight="1">
      <c r="A1" s="24" t="inlineStr">
        <is>
          <t>EXP_ID</t>
        </is>
      </c>
      <c r="B1" s="24" t="inlineStr">
        <is>
          <t>Evaluator_Name</t>
        </is>
      </c>
      <c r="C1" s="24" t="inlineStr">
        <is>
          <t>Profession_Designation</t>
        </is>
      </c>
      <c r="D1" s="24" t="inlineStr">
        <is>
          <t>Years_Experience</t>
        </is>
      </c>
      <c r="E1" s="24" t="inlineStr">
        <is>
          <t>Date_Evaluated</t>
        </is>
      </c>
      <c r="F1" s="24" t="inlineStr">
        <is>
          <t>Q01_Func_DDA</t>
        </is>
      </c>
      <c r="G1" s="24" t="inlineStr">
        <is>
          <t>Q02_Func_RFArchetype</t>
        </is>
      </c>
      <c r="H1" s="24" t="inlineStr">
        <is>
          <t>Q03_Func_DomainObj</t>
        </is>
      </c>
      <c r="I1" s="24" t="inlineStr">
        <is>
          <t>Q04_Sec_CredEncrypt</t>
        </is>
      </c>
      <c r="J1" s="24" t="inlineStr">
        <is>
          <t>Q05_Maint_ModularCode</t>
        </is>
      </c>
      <c r="K1" s="24" t="inlineStr">
        <is>
          <t>Q06_Maint_ModuleExtens</t>
        </is>
      </c>
      <c r="L1" s="24" t="inlineStr">
        <is>
          <t>Q07_Port_Deployment</t>
        </is>
      </c>
      <c r="M1" s="24" t="inlineStr">
        <is>
          <t>Q08_Perf_PhaserLatency</t>
        </is>
      </c>
      <c r="N1" s="24" t="inlineStr">
        <is>
          <t>Q09_Perf_FlaskRoute</t>
        </is>
      </c>
      <c r="O1" s="24" t="inlineStr">
        <is>
          <t>Q10_Comp_BrowserCross</t>
        </is>
      </c>
      <c r="P1" s="24" t="inlineStr">
        <is>
          <t>Q11_Comp_ReactFlaskAPI</t>
        </is>
      </c>
      <c r="Q1" s="24" t="inlineStr">
        <is>
          <t>Q12_Usab_RadarVisual</t>
        </is>
      </c>
      <c r="R1" s="24" t="inlineStr">
        <is>
          <t>Q13_Usab_NavHierarchy</t>
        </is>
      </c>
      <c r="S1" s="24" t="inlineStr">
        <is>
          <t>Q14_Rel_ErrorRecovery</t>
        </is>
      </c>
      <c r="T1" s="24" t="inlineStr">
        <is>
          <t>Q15_Rel_TelemetryStore</t>
        </is>
      </c>
      <c r="U1" s="24" t="inlineStr">
        <is>
          <t>Mean_FunctionalSuitability</t>
        </is>
      </c>
      <c r="V1" s="24" t="inlineStr">
        <is>
          <t>Mean_SecurityMaintainability</t>
        </is>
      </c>
      <c r="W1" s="24" t="inlineStr">
        <is>
          <t>Mean_Portability</t>
        </is>
      </c>
      <c r="X1" s="24" t="inlineStr">
        <is>
          <t>Mean_PerformanceEfficiency</t>
        </is>
      </c>
      <c r="Y1" s="24" t="inlineStr">
        <is>
          <t>Mean_Compatibility</t>
        </is>
      </c>
      <c r="Z1" s="24" t="inlineStr">
        <is>
          <t>Mean_Usability</t>
        </is>
      </c>
      <c r="AA1" s="24" t="inlineStr">
        <is>
          <t>Mean_Reliability</t>
        </is>
      </c>
      <c r="AB1" s="24" t="inlineStr">
        <is>
          <t>Overall_Mean</t>
        </is>
      </c>
    </row>
    <row r="2" ht="20" customHeight="1">
      <c r="A2" s="4" t="inlineStr">
        <is>
          <t>EXP-01</t>
        </is>
      </c>
      <c r="B2" s="5" t="inlineStr">
        <is>
          <t>Sarah Jane Limpiado</t>
        </is>
      </c>
      <c r="C2" s="5" t="inlineStr">
        <is>
          <t>Operations Quality Auditor</t>
        </is>
      </c>
      <c r="D2" s="4" t="n">
        <v>9</v>
      </c>
      <c r="E2" s="4" t="inlineStr">
        <is>
          <t>2026-10-14</t>
        </is>
      </c>
      <c r="F2" s="6" t="n">
        <v>5</v>
      </c>
      <c r="G2" s="6" t="n">
        <v>5</v>
      </c>
      <c r="H2" s="6" t="n">
        <v>5</v>
      </c>
      <c r="I2" s="6" t="n">
        <v>5</v>
      </c>
      <c r="J2" s="6" t="n">
        <v>5</v>
      </c>
      <c r="K2" s="6" t="n">
        <v>5</v>
      </c>
      <c r="L2" s="6" t="n">
        <v>5</v>
      </c>
      <c r="M2" s="6" t="n">
        <v>5</v>
      </c>
      <c r="N2" s="6" t="n">
        <v>5</v>
      </c>
      <c r="O2" s="6" t="n">
        <v>5</v>
      </c>
      <c r="P2" s="6" t="n">
        <v>5</v>
      </c>
      <c r="Q2" s="6" t="n">
        <v>5</v>
      </c>
      <c r="R2" s="6" t="n">
        <v>5</v>
      </c>
      <c r="S2" s="6" t="n">
        <v>5</v>
      </c>
      <c r="T2" s="6" t="n">
        <v>5</v>
      </c>
      <c r="U2" s="25">
        <f>AVERAGE(F2:H2)</f>
        <v/>
      </c>
      <c r="V2" s="25">
        <f>AVERAGE(I2:K2)</f>
        <v/>
      </c>
      <c r="W2" s="25">
        <f>L2</f>
        <v/>
      </c>
      <c r="X2" s="25">
        <f>AVERAGE(M2:N2)</f>
        <v/>
      </c>
      <c r="Y2" s="25">
        <f>AVERAGE(O2:P2)</f>
        <v/>
      </c>
      <c r="Z2" s="25">
        <f>IF(COUNT(Q2:R2)&gt;0, AVERAGE(Q2:R2), "")</f>
        <v/>
      </c>
      <c r="AA2" s="25">
        <f>AVERAGE(S2:T2)</f>
        <v/>
      </c>
      <c r="AB2" s="7">
        <f>AVERAGE(F2:T2)</f>
        <v/>
      </c>
    </row>
    <row r="3" ht="20" customHeight="1">
      <c r="A3" s="9" t="inlineStr">
        <is>
          <t>EXP-02</t>
        </is>
      </c>
      <c r="B3" s="10" t="inlineStr">
        <is>
          <t>Abby Briones</t>
        </is>
      </c>
      <c r="C3" s="10" t="inlineStr">
        <is>
          <t>IT Support</t>
        </is>
      </c>
      <c r="D3" s="9" t="n">
        <v>3</v>
      </c>
      <c r="E3" s="9" t="inlineStr">
        <is>
          <t>2026-10-13</t>
        </is>
      </c>
      <c r="F3" s="11" t="n">
        <v>5</v>
      </c>
      <c r="G3" s="11" t="n">
        <v>4</v>
      </c>
      <c r="H3" s="11" t="n">
        <v>4</v>
      </c>
      <c r="I3" s="11" t="n">
        <v>4</v>
      </c>
      <c r="J3" s="11" t="n">
        <v>4</v>
      </c>
      <c r="K3" s="11" t="n">
        <v>5</v>
      </c>
      <c r="L3" s="11" t="n">
        <v>4</v>
      </c>
      <c r="M3" s="11" t="n">
        <v>5</v>
      </c>
      <c r="N3" s="11" t="n">
        <v>4</v>
      </c>
      <c r="O3" s="11" t="n">
        <v>4</v>
      </c>
      <c r="P3" s="11" t="n">
        <v>4</v>
      </c>
      <c r="Q3" s="9" t="n"/>
      <c r="R3" s="9" t="n"/>
      <c r="S3" s="11" t="n">
        <v>5</v>
      </c>
      <c r="T3" s="11" t="n">
        <v>5</v>
      </c>
      <c r="U3" s="26">
        <f>AVERAGE(F3:H3)</f>
        <v/>
      </c>
      <c r="V3" s="26">
        <f>AVERAGE(I3:K3)</f>
        <v/>
      </c>
      <c r="W3" s="26">
        <f>L3</f>
        <v/>
      </c>
      <c r="X3" s="26">
        <f>AVERAGE(M3:N3)</f>
        <v/>
      </c>
      <c r="Y3" s="26">
        <f>AVERAGE(O3:P3)</f>
        <v/>
      </c>
      <c r="Z3" s="26">
        <f>IF(COUNT(Q3:R3)&gt;0, AVERAGE(Q3:R3), "")</f>
        <v/>
      </c>
      <c r="AA3" s="26">
        <f>AVERAGE(S3:T3)</f>
        <v/>
      </c>
      <c r="AB3" s="12">
        <f>AVERAGE(F3:T3)</f>
        <v/>
      </c>
    </row>
    <row r="4" ht="20" customHeight="1">
      <c r="A4" s="4" t="inlineStr">
        <is>
          <t>EXP-03</t>
        </is>
      </c>
      <c r="B4" s="5" t="inlineStr">
        <is>
          <t>Aldwin Legaspi</t>
        </is>
      </c>
      <c r="C4" s="5" t="inlineStr">
        <is>
          <t>IT Service Desk</t>
        </is>
      </c>
      <c r="D4" s="4" t="n">
        <v>4</v>
      </c>
      <c r="E4" s="4" t="inlineStr">
        <is>
          <t>2026-10-08</t>
        </is>
      </c>
      <c r="F4" s="6" t="n">
        <v>5</v>
      </c>
      <c r="G4" s="6" t="n">
        <v>5</v>
      </c>
      <c r="H4" s="6" t="n">
        <v>4</v>
      </c>
      <c r="I4" s="6" t="n">
        <v>5</v>
      </c>
      <c r="J4" s="6" t="n">
        <v>4</v>
      </c>
      <c r="K4" s="6" t="n">
        <v>5</v>
      </c>
      <c r="L4" s="6" t="n">
        <v>4</v>
      </c>
      <c r="M4" s="6" t="n">
        <v>5</v>
      </c>
      <c r="N4" s="6" t="n">
        <v>5</v>
      </c>
      <c r="O4" s="6" t="n">
        <v>5</v>
      </c>
      <c r="P4" s="6" t="n">
        <v>5</v>
      </c>
      <c r="Q4" s="6" t="n">
        <v>4</v>
      </c>
      <c r="R4" s="6" t="n">
        <v>5</v>
      </c>
      <c r="S4" s="6" t="n">
        <v>5</v>
      </c>
      <c r="T4" s="6" t="n">
        <v>5</v>
      </c>
      <c r="U4" s="25">
        <f>AVERAGE(F4:H4)</f>
        <v/>
      </c>
      <c r="V4" s="25">
        <f>AVERAGE(I4:K4)</f>
        <v/>
      </c>
      <c r="W4" s="25">
        <f>L4</f>
        <v/>
      </c>
      <c r="X4" s="25">
        <f>AVERAGE(M4:N4)</f>
        <v/>
      </c>
      <c r="Y4" s="25">
        <f>AVERAGE(O4:P4)</f>
        <v/>
      </c>
      <c r="Z4" s="25">
        <f>IF(COUNT(Q4:R4)&gt;0, AVERAGE(Q4:R4), "")</f>
        <v/>
      </c>
      <c r="AA4" s="25">
        <f>AVERAGE(S4:T4)</f>
        <v/>
      </c>
      <c r="AB4" s="7">
        <f>AVERAGE(F4:T4)</f>
        <v/>
      </c>
    </row>
    <row r="5" ht="20" customHeight="1">
      <c r="A5" s="9" t="inlineStr">
        <is>
          <t>EXP-04</t>
        </is>
      </c>
      <c r="B5" s="10" t="inlineStr">
        <is>
          <t>Anonymous (IT-1)</t>
        </is>
      </c>
      <c r="C5" s="10" t="inlineStr">
        <is>
          <t>IT Helpdesk</t>
        </is>
      </c>
      <c r="D5" s="9" t="n">
        <v>4</v>
      </c>
      <c r="E5" s="9" t="inlineStr">
        <is>
          <t>2026-10-13</t>
        </is>
      </c>
      <c r="F5" s="11" t="n">
        <v>5</v>
      </c>
      <c r="G5" s="11" t="n">
        <v>5</v>
      </c>
      <c r="H5" s="11" t="n">
        <v>5</v>
      </c>
      <c r="I5" s="11" t="n">
        <v>5</v>
      </c>
      <c r="J5" s="11" t="n">
        <v>5</v>
      </c>
      <c r="K5" s="11" t="n">
        <v>5</v>
      </c>
      <c r="L5" s="11" t="n">
        <v>5</v>
      </c>
      <c r="M5" s="11" t="n">
        <v>5</v>
      </c>
      <c r="N5" s="11" t="n">
        <v>5</v>
      </c>
      <c r="O5" s="11" t="n">
        <v>5</v>
      </c>
      <c r="P5" s="11" t="n">
        <v>5</v>
      </c>
      <c r="Q5" s="11" t="n">
        <v>5</v>
      </c>
      <c r="R5" s="11" t="n">
        <v>5</v>
      </c>
      <c r="S5" s="11" t="n">
        <v>5</v>
      </c>
      <c r="T5" s="11" t="n">
        <v>5</v>
      </c>
      <c r="U5" s="26">
        <f>AVERAGE(F5:H5)</f>
        <v/>
      </c>
      <c r="V5" s="26">
        <f>AVERAGE(I5:K5)</f>
        <v/>
      </c>
      <c r="W5" s="26">
        <f>L5</f>
        <v/>
      </c>
      <c r="X5" s="26">
        <f>AVERAGE(M5:N5)</f>
        <v/>
      </c>
      <c r="Y5" s="26">
        <f>AVERAGE(O5:P5)</f>
        <v/>
      </c>
      <c r="Z5" s="26">
        <f>IF(COUNT(Q5:R5)&gt;0, AVERAGE(Q5:R5), "")</f>
        <v/>
      </c>
      <c r="AA5" s="26">
        <f>AVERAGE(S5:T5)</f>
        <v/>
      </c>
      <c r="AB5" s="12">
        <f>AVERAGE(F5:T5)</f>
        <v/>
      </c>
    </row>
    <row r="6" ht="20" customHeight="1">
      <c r="A6" s="4" t="inlineStr">
        <is>
          <t>EXP-05</t>
        </is>
      </c>
      <c r="B6" s="5" t="inlineStr">
        <is>
          <t>Anonymous (IT-2)</t>
        </is>
      </c>
      <c r="C6" s="5" t="inlineStr">
        <is>
          <t>IT Helpdesk</t>
        </is>
      </c>
      <c r="D6" s="4" t="n">
        <v>2</v>
      </c>
      <c r="E6" s="4" t="inlineStr">
        <is>
          <t>2026-10-14</t>
        </is>
      </c>
      <c r="F6" s="6" t="n">
        <v>5</v>
      </c>
      <c r="G6" s="6" t="n">
        <v>5</v>
      </c>
      <c r="H6" s="6" t="n">
        <v>5</v>
      </c>
      <c r="I6" s="6" t="n">
        <v>5</v>
      </c>
      <c r="J6" s="6" t="n">
        <v>5</v>
      </c>
      <c r="K6" s="6" t="n">
        <v>5</v>
      </c>
      <c r="L6" s="6" t="n">
        <v>5</v>
      </c>
      <c r="M6" s="6" t="n">
        <v>5</v>
      </c>
      <c r="N6" s="6" t="n">
        <v>5</v>
      </c>
      <c r="O6" s="6" t="n">
        <v>4</v>
      </c>
      <c r="P6" s="6" t="n">
        <v>4</v>
      </c>
      <c r="Q6" s="6" t="n">
        <v>5</v>
      </c>
      <c r="R6" s="6" t="n">
        <v>4</v>
      </c>
      <c r="S6" s="6" t="n">
        <v>5</v>
      </c>
      <c r="T6" s="6" t="n">
        <v>5</v>
      </c>
      <c r="U6" s="25">
        <f>AVERAGE(F6:H6)</f>
        <v/>
      </c>
      <c r="V6" s="25">
        <f>AVERAGE(I6:K6)</f>
        <v/>
      </c>
      <c r="W6" s="25">
        <f>L6</f>
        <v/>
      </c>
      <c r="X6" s="25">
        <f>AVERAGE(M6:N6)</f>
        <v/>
      </c>
      <c r="Y6" s="25">
        <f>AVERAGE(O6:P6)</f>
        <v/>
      </c>
      <c r="Z6" s="25">
        <f>IF(COUNT(Q6:R6)&gt;0, AVERAGE(Q6:R6), "")</f>
        <v/>
      </c>
      <c r="AA6" s="25">
        <f>AVERAGE(S6:T6)</f>
        <v/>
      </c>
      <c r="AB6" s="7">
        <f>AVERAGE(F6:T6)</f>
        <v/>
      </c>
    </row>
    <row r="7" ht="20" customHeight="1">
      <c r="A7" s="9" t="inlineStr">
        <is>
          <t>EXP-06</t>
        </is>
      </c>
      <c r="B7" s="10" t="inlineStr">
        <is>
          <t>Clark Von Cabural</t>
        </is>
      </c>
      <c r="C7" s="10" t="inlineStr">
        <is>
          <t>IT Security Operations Analyst</t>
        </is>
      </c>
      <c r="D7" s="9" t="n">
        <v>7</v>
      </c>
      <c r="E7" s="9" t="inlineStr">
        <is>
          <t>2026-10-12</t>
        </is>
      </c>
      <c r="F7" s="11" t="n">
        <v>5</v>
      </c>
      <c r="G7" s="11" t="n">
        <v>4</v>
      </c>
      <c r="H7" s="11" t="n">
        <v>5</v>
      </c>
      <c r="I7" s="11" t="n">
        <v>4</v>
      </c>
      <c r="J7" s="11" t="n">
        <v>4</v>
      </c>
      <c r="K7" s="11" t="n">
        <v>5</v>
      </c>
      <c r="L7" s="11" t="n">
        <v>4</v>
      </c>
      <c r="M7" s="11" t="n">
        <v>5</v>
      </c>
      <c r="N7" s="11" t="n">
        <v>4</v>
      </c>
      <c r="O7" s="11" t="n">
        <v>4</v>
      </c>
      <c r="P7" s="11" t="n">
        <v>4</v>
      </c>
      <c r="Q7" s="9" t="n"/>
      <c r="R7" s="9" t="n"/>
      <c r="S7" s="11" t="n">
        <v>5</v>
      </c>
      <c r="T7" s="11" t="n">
        <v>5</v>
      </c>
      <c r="U7" s="26">
        <f>AVERAGE(F7:H7)</f>
        <v/>
      </c>
      <c r="V7" s="26">
        <f>AVERAGE(I7:K7)</f>
        <v/>
      </c>
      <c r="W7" s="26">
        <f>L7</f>
        <v/>
      </c>
      <c r="X7" s="26">
        <f>AVERAGE(M7:N7)</f>
        <v/>
      </c>
      <c r="Y7" s="26">
        <f>AVERAGE(O7:P7)</f>
        <v/>
      </c>
      <c r="Z7" s="26">
        <f>IF(COUNT(Q7:R7)&gt;0, AVERAGE(Q7:R7), "")</f>
        <v/>
      </c>
      <c r="AA7" s="26">
        <f>AVERAGE(S7:T7)</f>
        <v/>
      </c>
      <c r="AB7" s="12">
        <f>AVERAGE(F7:T7)</f>
        <v/>
      </c>
    </row>
    <row r="8" ht="20" customHeight="1">
      <c r="A8" s="4" t="inlineStr">
        <is>
          <t>EXP-07</t>
        </is>
      </c>
      <c r="B8" s="5" t="inlineStr">
        <is>
          <t>Fe Antonio</t>
        </is>
      </c>
      <c r="C8" s="5" t="inlineStr">
        <is>
          <t>IT Professor</t>
        </is>
      </c>
      <c r="D8" s="4" t="n">
        <v>2</v>
      </c>
      <c r="E8" s="4" t="inlineStr">
        <is>
          <t>2026-10-09</t>
        </is>
      </c>
      <c r="F8" s="6" t="n">
        <v>5</v>
      </c>
      <c r="G8" s="6" t="n">
        <v>5</v>
      </c>
      <c r="H8" s="6" t="n">
        <v>5</v>
      </c>
      <c r="I8" s="6" t="n">
        <v>5</v>
      </c>
      <c r="J8" s="6" t="n">
        <v>5</v>
      </c>
      <c r="K8" s="6" t="n">
        <v>5</v>
      </c>
      <c r="L8" s="6" t="n">
        <v>5</v>
      </c>
      <c r="M8" s="6" t="n">
        <v>5</v>
      </c>
      <c r="N8" s="6" t="n">
        <v>5</v>
      </c>
      <c r="O8" s="6" t="n">
        <v>5</v>
      </c>
      <c r="P8" s="6" t="n">
        <v>5</v>
      </c>
      <c r="Q8" s="6" t="n">
        <v>5</v>
      </c>
      <c r="R8" s="6" t="n">
        <v>5</v>
      </c>
      <c r="S8" s="6" t="n">
        <v>5</v>
      </c>
      <c r="T8" s="6" t="n">
        <v>5</v>
      </c>
      <c r="U8" s="25">
        <f>AVERAGE(F8:H8)</f>
        <v/>
      </c>
      <c r="V8" s="25">
        <f>AVERAGE(I8:K8)</f>
        <v/>
      </c>
      <c r="W8" s="25">
        <f>L8</f>
        <v/>
      </c>
      <c r="X8" s="25">
        <f>AVERAGE(M8:N8)</f>
        <v/>
      </c>
      <c r="Y8" s="25">
        <f>AVERAGE(O8:P8)</f>
        <v/>
      </c>
      <c r="Z8" s="25">
        <f>IF(COUNT(Q8:R8)&gt;0, AVERAGE(Q8:R8), "")</f>
        <v/>
      </c>
      <c r="AA8" s="25">
        <f>AVERAGE(S8:T8)</f>
        <v/>
      </c>
      <c r="AB8" s="7">
        <f>AVERAGE(F8:T8)</f>
        <v/>
      </c>
    </row>
    <row r="9" ht="20" customHeight="1">
      <c r="A9" s="9" t="inlineStr">
        <is>
          <t>EXP-08</t>
        </is>
      </c>
      <c r="B9" s="10" t="inlineStr">
        <is>
          <t>Homer Favenir</t>
        </is>
      </c>
      <c r="C9" s="10" t="inlineStr">
        <is>
          <t>Software Engineer</t>
        </is>
      </c>
      <c r="D9" s="9" t="n">
        <v>5</v>
      </c>
      <c r="E9" s="9" t="inlineStr">
        <is>
          <t>2026-10-12</t>
        </is>
      </c>
      <c r="F9" s="11" t="n">
        <v>5</v>
      </c>
      <c r="G9" s="11" t="n">
        <v>4</v>
      </c>
      <c r="H9" s="11" t="n">
        <v>5</v>
      </c>
      <c r="I9" s="11" t="n">
        <v>4</v>
      </c>
      <c r="J9" s="11" t="n">
        <v>5</v>
      </c>
      <c r="K9" s="11" t="n">
        <v>5</v>
      </c>
      <c r="L9" s="11" t="n">
        <v>4</v>
      </c>
      <c r="M9" s="11" t="n">
        <v>5</v>
      </c>
      <c r="N9" s="11" t="n">
        <v>4</v>
      </c>
      <c r="O9" s="11" t="n">
        <v>5</v>
      </c>
      <c r="P9" s="11" t="n">
        <v>4</v>
      </c>
      <c r="Q9" s="11" t="n">
        <v>5</v>
      </c>
      <c r="R9" s="11" t="n">
        <v>4</v>
      </c>
      <c r="S9" s="11" t="n">
        <v>4</v>
      </c>
      <c r="T9" s="11" t="n">
        <v>5</v>
      </c>
      <c r="U9" s="26">
        <f>AVERAGE(F9:H9)</f>
        <v/>
      </c>
      <c r="V9" s="26">
        <f>AVERAGE(I9:K9)</f>
        <v/>
      </c>
      <c r="W9" s="26">
        <f>L9</f>
        <v/>
      </c>
      <c r="X9" s="26">
        <f>AVERAGE(M9:N9)</f>
        <v/>
      </c>
      <c r="Y9" s="26">
        <f>AVERAGE(O9:P9)</f>
        <v/>
      </c>
      <c r="Z9" s="26">
        <f>IF(COUNT(Q9:R9)&gt;0, AVERAGE(Q9:R9), "")</f>
        <v/>
      </c>
      <c r="AA9" s="26">
        <f>AVERAGE(S9:T9)</f>
        <v/>
      </c>
      <c r="AB9" s="12">
        <f>AVERAGE(F9:T9)</f>
        <v/>
      </c>
    </row>
    <row r="10" ht="20" customHeight="1">
      <c r="A10" s="4" t="inlineStr">
        <is>
          <t>EXP-09</t>
        </is>
      </c>
      <c r="B10" s="5" t="inlineStr">
        <is>
          <t>Patrick G Gonzales</t>
        </is>
      </c>
      <c r="C10" s="5" t="inlineStr">
        <is>
          <t>Game Tester</t>
        </is>
      </c>
      <c r="D10" s="4" t="n">
        <v>2</v>
      </c>
      <c r="E10" s="4" t="inlineStr">
        <is>
          <t>2026-10-08</t>
        </is>
      </c>
      <c r="F10" s="6" t="n">
        <v>5</v>
      </c>
      <c r="G10" s="6" t="n">
        <v>5</v>
      </c>
      <c r="H10" s="6" t="n">
        <v>5</v>
      </c>
      <c r="I10" s="6" t="n">
        <v>4</v>
      </c>
      <c r="J10" s="6" t="n">
        <v>5</v>
      </c>
      <c r="K10" s="6" t="n">
        <v>4</v>
      </c>
      <c r="L10" s="6" t="n">
        <v>5</v>
      </c>
      <c r="M10" s="6" t="n">
        <v>5</v>
      </c>
      <c r="N10" s="6" t="n">
        <v>4</v>
      </c>
      <c r="O10" s="6" t="n">
        <v>5</v>
      </c>
      <c r="P10" s="6" t="n">
        <v>5</v>
      </c>
      <c r="Q10" s="6" t="n">
        <v>5</v>
      </c>
      <c r="R10" s="6" t="n">
        <v>5</v>
      </c>
      <c r="S10" s="6" t="n">
        <v>5</v>
      </c>
      <c r="T10" s="6" t="n">
        <v>4</v>
      </c>
      <c r="U10" s="25">
        <f>AVERAGE(F10:H10)</f>
        <v/>
      </c>
      <c r="V10" s="25">
        <f>AVERAGE(I10:K10)</f>
        <v/>
      </c>
      <c r="W10" s="25">
        <f>L10</f>
        <v/>
      </c>
      <c r="X10" s="25">
        <f>AVERAGE(M10:N10)</f>
        <v/>
      </c>
      <c r="Y10" s="25">
        <f>AVERAGE(O10:P10)</f>
        <v/>
      </c>
      <c r="Z10" s="25">
        <f>IF(COUNT(Q10:R10)&gt;0, AVERAGE(Q10:R10), "")</f>
        <v/>
      </c>
      <c r="AA10" s="25">
        <f>AVERAGE(S10:T10)</f>
        <v/>
      </c>
      <c r="AB10" s="7">
        <f>AVERAGE(F10:T10)</f>
        <v/>
      </c>
    </row>
    <row r="11" ht="20" customHeight="1">
      <c r="A11" s="9" t="inlineStr">
        <is>
          <t>EXP-10</t>
        </is>
      </c>
      <c r="B11" s="10" t="inlineStr">
        <is>
          <t>Roberto Malitao</t>
        </is>
      </c>
      <c r="C11" s="10" t="inlineStr">
        <is>
          <t>IT Consultant</t>
        </is>
      </c>
      <c r="D11" s="9" t="n">
        <v>3</v>
      </c>
      <c r="E11" s="9" t="inlineStr">
        <is>
          <t>2026-10-08</t>
        </is>
      </c>
      <c r="F11" s="11" t="n">
        <v>4</v>
      </c>
      <c r="G11" s="11" t="n">
        <v>4</v>
      </c>
      <c r="H11" s="11" t="n">
        <v>4</v>
      </c>
      <c r="I11" s="11" t="n">
        <v>4</v>
      </c>
      <c r="J11" s="11" t="n">
        <v>4</v>
      </c>
      <c r="K11" s="11" t="n">
        <v>4</v>
      </c>
      <c r="L11" s="11" t="n">
        <v>4</v>
      </c>
      <c r="M11" s="11" t="n">
        <v>4</v>
      </c>
      <c r="N11" s="11" t="n">
        <v>4</v>
      </c>
      <c r="O11" s="11" t="n">
        <v>4</v>
      </c>
      <c r="P11" s="11" t="n">
        <v>4</v>
      </c>
      <c r="Q11" s="11" t="n">
        <v>4</v>
      </c>
      <c r="R11" s="11" t="n">
        <v>4</v>
      </c>
      <c r="S11" s="11" t="n">
        <v>4</v>
      </c>
      <c r="T11" s="11" t="n">
        <v>4</v>
      </c>
      <c r="U11" s="26">
        <f>AVERAGE(F11:H11)</f>
        <v/>
      </c>
      <c r="V11" s="26">
        <f>AVERAGE(I11:K11)</f>
        <v/>
      </c>
      <c r="W11" s="26">
        <f>L11</f>
        <v/>
      </c>
      <c r="X11" s="26">
        <f>AVERAGE(M11:N11)</f>
        <v/>
      </c>
      <c r="Y11" s="26">
        <f>AVERAGE(O11:P11)</f>
        <v/>
      </c>
      <c r="Z11" s="26">
        <f>IF(COUNT(Q11:R11)&gt;0, AVERAGE(Q11:R11), "")</f>
        <v/>
      </c>
      <c r="AA11" s="26">
        <f>AVERAGE(S11:T11)</f>
        <v/>
      </c>
      <c r="AB11" s="12">
        <f>AVERAGE(F11:T11)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62" customWidth="1" min="3" max="3"/>
    <col width="10" customWidth="1" min="4" max="4"/>
    <col width="12" customWidth="1" min="5" max="5"/>
    <col width="12" customWidth="1" min="6" max="6"/>
    <col width="22" customWidth="1" min="7" max="7"/>
  </cols>
  <sheetData>
    <row r="1">
      <c r="A1" s="1" t="inlineStr">
        <is>
          <t>COGNICORE: ISO/IEC 25010 SOFTWARE QUALITY EVALUATION SUMMARY</t>
        </is>
      </c>
    </row>
    <row r="2">
      <c r="A2" s="2" t="inlineStr">
        <is>
          <t>Academic Summary Table (N=10 Evaluators, 7 Quality Dimensions, 15 Items, UPHSD Likert Standard)</t>
        </is>
      </c>
    </row>
    <row r="3"/>
    <row r="4" ht="28" customHeight="1">
      <c r="A4" s="3" t="inlineStr">
        <is>
          <t>Category / Characteristic</t>
        </is>
      </c>
      <c r="B4" s="3" t="inlineStr">
        <is>
          <t>Item ID</t>
        </is>
      </c>
      <c r="C4" s="3" t="inlineStr">
        <is>
          <t>Quality Indicator / Questionnaire Statement</t>
        </is>
      </c>
      <c r="D4" s="3" t="inlineStr">
        <is>
          <t>N</t>
        </is>
      </c>
      <c r="E4" s="3" t="inlineStr">
        <is>
          <t>Mean</t>
        </is>
      </c>
      <c r="F4" s="3" t="inlineStr">
        <is>
          <t>Std. Dev</t>
        </is>
      </c>
      <c r="G4" s="3" t="inlineStr">
        <is>
          <t>Verbal Interpretation</t>
        </is>
      </c>
    </row>
    <row r="5" ht="21" customHeight="1">
      <c r="A5" s="5" t="inlineStr">
        <is>
          <t>Functional Suitability</t>
        </is>
      </c>
      <c r="B5" s="4" t="inlineStr">
        <is>
          <t>1</t>
        </is>
      </c>
      <c r="C5" s="5" t="inlineStr">
        <is>
          <t>The system's Dynamic Difficulty Adjustment (DDA) logic correctly scales based on real-time user input.</t>
        </is>
      </c>
      <c r="D5" s="4" t="n">
        <v>10</v>
      </c>
      <c r="E5" s="25">
        <f>'Evaluators &amp; Raw Ratings'!F15</f>
        <v/>
      </c>
      <c r="F5" s="25">
        <f>'Evaluators &amp; Raw Ratings'!F16</f>
        <v/>
      </c>
      <c r="G5" s="4">
        <f>IF(E5&gt;=4.2,"Excellent",IF(E5&gt;=3.4,"Very Good",IF(E5&gt;=2.6,"Good",IF(E5&gt;=1.8,"Fair","Poor"))))</f>
        <v/>
      </c>
    </row>
    <row r="6" ht="21" customHeight="1">
      <c r="A6" s="5" t="inlineStr">
        <is>
          <t>Functional Suitability</t>
        </is>
      </c>
      <c r="B6" s="4" t="inlineStr">
        <is>
          <t>2</t>
        </is>
      </c>
      <c r="C6" s="5" t="inlineStr">
        <is>
          <t>The Random Forest Classifier accurately processes data to categorize users into the correct Cognitive Archetypes.</t>
        </is>
      </c>
      <c r="D6" s="4" t="n">
        <v>10</v>
      </c>
      <c r="E6" s="25">
        <f>'Evaluators &amp; Raw Ratings'!G15</f>
        <v/>
      </c>
      <c r="F6" s="25">
        <f>'Evaluators &amp; Raw Ratings'!G16</f>
        <v/>
      </c>
      <c r="G6" s="4">
        <f>IF(E6&gt;=4.2,"Excellent",IF(E6&gt;=3.4,"Very Good",IF(E6&gt;=2.6,"Good",IF(E6&gt;=1.8,"Fair","Poor"))))</f>
        <v/>
      </c>
    </row>
    <row r="7" ht="21" customHeight="1">
      <c r="A7" s="5" t="inlineStr">
        <is>
          <t>Functional Suitability</t>
        </is>
      </c>
      <c r="B7" s="4" t="inlineStr">
        <is>
          <t>3</t>
        </is>
      </c>
      <c r="C7" s="5" t="inlineStr">
        <is>
          <t>The system fulfills all specified programmatic objectives to provide accurate reports on student cognitive skills and analysis across the 4 domains.</t>
        </is>
      </c>
      <c r="D7" s="4" t="n">
        <v>10</v>
      </c>
      <c r="E7" s="25">
        <f>'Evaluators &amp; Raw Ratings'!H15</f>
        <v/>
      </c>
      <c r="F7" s="25">
        <f>'Evaluators &amp; Raw Ratings'!H16</f>
        <v/>
      </c>
      <c r="G7" s="4">
        <f>IF(E7&gt;=4.2,"Excellent",IF(E7&gt;=3.4,"Very Good",IF(E7&gt;=2.6,"Good",IF(E7&gt;=1.8,"Fair","Poor"))))</f>
        <v/>
      </c>
    </row>
    <row r="8" ht="21" customHeight="1">
      <c r="A8" s="20" t="inlineStr">
        <is>
          <t>Functional Suitability (Subscale Composite)</t>
        </is>
      </c>
      <c r="B8" s="19" t="inlineStr"/>
      <c r="C8" s="20" t="inlineStr">
        <is>
          <t>Subscale Composite Score (3 Items, N=10 Evaluators)</t>
        </is>
      </c>
      <c r="D8" s="19" t="n">
        <v>10</v>
      </c>
      <c r="E8" s="23">
        <f>AVERAGE('Numeric Matrix (SPSS Ready)'!U2:U11)</f>
        <v/>
      </c>
      <c r="F8" s="23">
        <f>STDEV.S('Numeric Matrix (SPSS Ready)'!U2:U11)</f>
        <v/>
      </c>
      <c r="G8" s="19">
        <f>IF(E8&gt;=4.2,"Excellent",IF(E8&gt;=3.4,"Very Good",IF(E8&gt;=2.6,"Good",IF(E8&gt;=1.8,"Fair","Poor"))))</f>
        <v/>
      </c>
    </row>
    <row r="9" ht="21" customHeight="1">
      <c r="A9" s="5" t="inlineStr">
        <is>
          <t>Security &amp; Maintainability</t>
        </is>
      </c>
      <c r="B9" s="4" t="inlineStr">
        <is>
          <t>4</t>
        </is>
      </c>
      <c r="C9" s="5" t="inlineStr">
        <is>
          <t>User login credentials and profile data are properly secured and encrypted within the database.</t>
        </is>
      </c>
      <c r="D9" s="4" t="n">
        <v>10</v>
      </c>
      <c r="E9" s="25">
        <f>'Evaluators &amp; Raw Ratings'!I15</f>
        <v/>
      </c>
      <c r="F9" s="25">
        <f>'Evaluators &amp; Raw Ratings'!I16</f>
        <v/>
      </c>
      <c r="G9" s="4">
        <f>IF(E9&gt;=4.2,"Excellent",IF(E9&gt;=3.4,"Very Good",IF(E9&gt;=2.6,"Good",IF(E9&gt;=1.8,"Fair","Poor"))))</f>
        <v/>
      </c>
    </row>
    <row r="10" ht="21" customHeight="1">
      <c r="A10" s="5" t="inlineStr">
        <is>
          <t>Security &amp; Maintainability</t>
        </is>
      </c>
      <c r="B10" s="4" t="inlineStr">
        <is>
          <t>5</t>
        </is>
      </c>
      <c r="C10" s="5" t="inlineStr">
        <is>
          <t>The source code is logically structured, commented, and modular, making the system easy to update.</t>
        </is>
      </c>
      <c r="D10" s="4" t="n">
        <v>10</v>
      </c>
      <c r="E10" s="25">
        <f>'Evaluators &amp; Raw Ratings'!J15</f>
        <v/>
      </c>
      <c r="F10" s="25">
        <f>'Evaluators &amp; Raw Ratings'!J16</f>
        <v/>
      </c>
      <c r="G10" s="4">
        <f>IF(E10&gt;=4.2,"Excellent",IF(E10&gt;=3.4,"Very Good",IF(E10&gt;=2.6,"Good",IF(E10&gt;=1.8,"Fair","Poor"))))</f>
        <v/>
      </c>
    </row>
    <row r="11" ht="21" customHeight="1">
      <c r="A11" s="5" t="inlineStr">
        <is>
          <t>Security &amp; Maintainability</t>
        </is>
      </c>
      <c r="B11" s="4" t="inlineStr">
        <is>
          <t>6</t>
        </is>
      </c>
      <c r="C11" s="5" t="inlineStr">
        <is>
          <t>Additional cognitive game modules could be integrated into the framework without breaking the existing codebase.</t>
        </is>
      </c>
      <c r="D11" s="4" t="n">
        <v>10</v>
      </c>
      <c r="E11" s="25">
        <f>'Evaluators &amp; Raw Ratings'!K15</f>
        <v/>
      </c>
      <c r="F11" s="25">
        <f>'Evaluators &amp; Raw Ratings'!K16</f>
        <v/>
      </c>
      <c r="G11" s="4">
        <f>IF(E11&gt;=4.2,"Excellent",IF(E11&gt;=3.4,"Very Good",IF(E11&gt;=2.6,"Good",IF(E11&gt;=1.8,"Fair","Poor"))))</f>
        <v/>
      </c>
    </row>
    <row r="12" ht="21" customHeight="1">
      <c r="A12" s="20" t="inlineStr">
        <is>
          <t>Security &amp; Maintainability (Subscale Composite)</t>
        </is>
      </c>
      <c r="B12" s="19" t="inlineStr"/>
      <c r="C12" s="20" t="inlineStr">
        <is>
          <t>Subscale Composite Score (3 Items, N=10 Evaluators)</t>
        </is>
      </c>
      <c r="D12" s="19" t="n">
        <v>10</v>
      </c>
      <c r="E12" s="23">
        <f>AVERAGE('Numeric Matrix (SPSS Ready)'!V2:V11)</f>
        <v/>
      </c>
      <c r="F12" s="23">
        <f>STDEV.S('Numeric Matrix (SPSS Ready)'!V2:V11)</f>
        <v/>
      </c>
      <c r="G12" s="19">
        <f>IF(E12&gt;=4.2,"Excellent",IF(E12&gt;=3.4,"Very Good",IF(E12&gt;=2.6,"Good",IF(E12&gt;=1.8,"Fair","Poor"))))</f>
        <v/>
      </c>
    </row>
    <row r="13" ht="21" customHeight="1">
      <c r="A13" s="5" t="inlineStr">
        <is>
          <t>Portability</t>
        </is>
      </c>
      <c r="B13" s="4" t="inlineStr">
        <is>
          <t>7</t>
        </is>
      </c>
      <c r="C13" s="5" t="inlineStr">
        <is>
          <t>The system can be easily deployed and run on different local environments or public hosting servers.</t>
        </is>
      </c>
      <c r="D13" s="4" t="n">
        <v>10</v>
      </c>
      <c r="E13" s="25">
        <f>'Evaluators &amp; Raw Ratings'!L15</f>
        <v/>
      </c>
      <c r="F13" s="25">
        <f>'Evaluators &amp; Raw Ratings'!L16</f>
        <v/>
      </c>
      <c r="G13" s="4">
        <f>IF(E13&gt;=4.2,"Excellent",IF(E13&gt;=3.4,"Very Good",IF(E13&gt;=2.6,"Good",IF(E13&gt;=1.8,"Fair","Poor"))))</f>
        <v/>
      </c>
    </row>
    <row r="14" ht="21" customHeight="1">
      <c r="A14" s="20" t="inlineStr">
        <is>
          <t>Portability (Subscale Composite)</t>
        </is>
      </c>
      <c r="B14" s="19" t="inlineStr"/>
      <c r="C14" s="20" t="inlineStr">
        <is>
          <t>Subscale Composite Score (1 Item, N=10 Evaluators)</t>
        </is>
      </c>
      <c r="D14" s="19" t="n">
        <v>10</v>
      </c>
      <c r="E14" s="23">
        <f>AVERAGE('Numeric Matrix (SPSS Ready)'!W2:W11)</f>
        <v/>
      </c>
      <c r="F14" s="23">
        <f>STDEV.S('Numeric Matrix (SPSS Ready)'!W2:W11)</f>
        <v/>
      </c>
      <c r="G14" s="19">
        <f>IF(E14&gt;=4.2,"Excellent",IF(E14&gt;=3.4,"Very Good",IF(E14&gt;=2.6,"Good",IF(E14&gt;=1.8,"Fair","Poor"))))</f>
        <v/>
      </c>
    </row>
    <row r="15" ht="21" customHeight="1">
      <c r="A15" s="5" t="inlineStr">
        <is>
          <t>Performance Efficiency</t>
        </is>
      </c>
      <c r="B15" s="4" t="inlineStr">
        <is>
          <t>8</t>
        </is>
      </c>
      <c r="C15" s="5" t="inlineStr">
        <is>
          <t>The Phaser.io mini-games load and respond quickly without hardware-induced latency.</t>
        </is>
      </c>
      <c r="D15" s="4" t="n">
        <v>10</v>
      </c>
      <c r="E15" s="25">
        <f>'Evaluators &amp; Raw Ratings'!M15</f>
        <v/>
      </c>
      <c r="F15" s="25">
        <f>'Evaluators &amp; Raw Ratings'!M16</f>
        <v/>
      </c>
      <c r="G15" s="4">
        <f>IF(E15&gt;=4.2,"Excellent",IF(E15&gt;=3.4,"Very Good",IF(E15&gt;=2.6,"Good",IF(E15&gt;=1.8,"Fair","Poor"))))</f>
        <v/>
      </c>
    </row>
    <row r="16" ht="21" customHeight="1">
      <c r="A16" s="5" t="inlineStr">
        <is>
          <t>Performance Efficiency</t>
        </is>
      </c>
      <c r="B16" s="4" t="inlineStr">
        <is>
          <t>9</t>
        </is>
      </c>
      <c r="C16" s="5" t="inlineStr">
        <is>
          <t>The Python/Flask backend processes the AI evaluation route efficiently under load.</t>
        </is>
      </c>
      <c r="D16" s="4" t="n">
        <v>10</v>
      </c>
      <c r="E16" s="25">
        <f>'Evaluators &amp; Raw Ratings'!N15</f>
        <v/>
      </c>
      <c r="F16" s="25">
        <f>'Evaluators &amp; Raw Ratings'!N16</f>
        <v/>
      </c>
      <c r="G16" s="4">
        <f>IF(E16&gt;=4.2,"Excellent",IF(E16&gt;=3.4,"Very Good",IF(E16&gt;=2.6,"Good",IF(E16&gt;=1.8,"Fair","Poor"))))</f>
        <v/>
      </c>
    </row>
    <row r="17" ht="21" customHeight="1">
      <c r="A17" s="20" t="inlineStr">
        <is>
          <t>Performance Efficiency (Subscale Composite)</t>
        </is>
      </c>
      <c r="B17" s="19" t="inlineStr"/>
      <c r="C17" s="20" t="inlineStr">
        <is>
          <t>Subscale Composite Score (2 Items, N=10 Evaluators)</t>
        </is>
      </c>
      <c r="D17" s="19" t="n">
        <v>10</v>
      </c>
      <c r="E17" s="23">
        <f>AVERAGE('Numeric Matrix (SPSS Ready)'!X2:X11)</f>
        <v/>
      </c>
      <c r="F17" s="23">
        <f>STDEV.S('Numeric Matrix (SPSS Ready)'!X2:X11)</f>
        <v/>
      </c>
      <c r="G17" s="19">
        <f>IF(E17&gt;=4.2,"Excellent",IF(E17&gt;=3.4,"Very Good",IF(E17&gt;=2.6,"Good",IF(E17&gt;=1.8,"Fair","Poor"))))</f>
        <v/>
      </c>
    </row>
    <row r="18" ht="21" customHeight="1">
      <c r="A18" s="5" t="inlineStr">
        <is>
          <t>Compatibility</t>
        </is>
      </c>
      <c r="B18" s="4" t="inlineStr">
        <is>
          <t>10</t>
        </is>
      </c>
      <c r="C18" s="5" t="inlineStr">
        <is>
          <t>The web application functions correctly across different modern web browsers (Chrome, Edge, Firefox).</t>
        </is>
      </c>
      <c r="D18" s="4" t="n">
        <v>10</v>
      </c>
      <c r="E18" s="25">
        <f>'Evaluators &amp; Raw Ratings'!O15</f>
        <v/>
      </c>
      <c r="F18" s="25">
        <f>'Evaluators &amp; Raw Ratings'!O16</f>
        <v/>
      </c>
      <c r="G18" s="4">
        <f>IF(E18&gt;=4.2,"Excellent",IF(E18&gt;=3.4,"Very Good",IF(E18&gt;=2.6,"Good",IF(E18&gt;=1.8,"Fair","Poor"))))</f>
        <v/>
      </c>
    </row>
    <row r="19" ht="21" customHeight="1">
      <c r="A19" s="5" t="inlineStr">
        <is>
          <t>Compatibility</t>
        </is>
      </c>
      <c r="B19" s="4" t="inlineStr">
        <is>
          <t>11</t>
        </is>
      </c>
      <c r="C19" s="5" t="inlineStr">
        <is>
          <t>The React.js frontend integrates seamlessly with the Python backend API.</t>
        </is>
      </c>
      <c r="D19" s="4" t="n">
        <v>10</v>
      </c>
      <c r="E19" s="25">
        <f>'Evaluators &amp; Raw Ratings'!P15</f>
        <v/>
      </c>
      <c r="F19" s="25">
        <f>'Evaluators &amp; Raw Ratings'!P16</f>
        <v/>
      </c>
      <c r="G19" s="4">
        <f>IF(E19&gt;=4.2,"Excellent",IF(E19&gt;=3.4,"Very Good",IF(E19&gt;=2.6,"Good",IF(E19&gt;=1.8,"Fair","Poor"))))</f>
        <v/>
      </c>
    </row>
    <row r="20" ht="21" customHeight="1">
      <c r="A20" s="20" t="inlineStr">
        <is>
          <t>Compatibility (Subscale Composite)</t>
        </is>
      </c>
      <c r="B20" s="19" t="inlineStr"/>
      <c r="C20" s="20" t="inlineStr">
        <is>
          <t>Subscale Composite Score (2 Items, N=10 Evaluators)</t>
        </is>
      </c>
      <c r="D20" s="19" t="n">
        <v>10</v>
      </c>
      <c r="E20" s="23">
        <f>AVERAGE('Numeric Matrix (SPSS Ready)'!Y2:Y11)</f>
        <v/>
      </c>
      <c r="F20" s="23">
        <f>STDEV.S('Numeric Matrix (SPSS Ready)'!Y2:Y11)</f>
        <v/>
      </c>
      <c r="G20" s="19">
        <f>IF(E20&gt;=4.2,"Excellent",IF(E20&gt;=3.4,"Very Good",IF(E20&gt;=2.6,"Good",IF(E20&gt;=1.8,"Fair","Poor"))))</f>
        <v/>
      </c>
    </row>
    <row r="21" ht="21" customHeight="1">
      <c r="A21" s="5" t="inlineStr">
        <is>
          <t>Usability</t>
        </is>
      </c>
      <c r="B21" s="4" t="inlineStr">
        <is>
          <t>12</t>
        </is>
      </c>
      <c r="C21" s="5" t="inlineStr">
        <is>
          <t>The AI Analytics Dashboard code accurately renders the visualization of data (e.g., Radar Charts).</t>
        </is>
      </c>
      <c r="D21" s="4" t="n">
        <v>8</v>
      </c>
      <c r="E21" s="25">
        <f>'Evaluators &amp; Raw Ratings'!Q15</f>
        <v/>
      </c>
      <c r="F21" s="25">
        <f>'Evaluators &amp; Raw Ratings'!Q16</f>
        <v/>
      </c>
      <c r="G21" s="4">
        <f>IF(E21&gt;=4.2,"Excellent",IF(E21&gt;=3.4,"Very Good",IF(E21&gt;=2.6,"Good",IF(E21&gt;=1.8,"Fair","Poor"))))</f>
        <v/>
      </c>
    </row>
    <row r="22" ht="21" customHeight="1">
      <c r="A22" s="5" t="inlineStr">
        <is>
          <t>Usability</t>
        </is>
      </c>
      <c r="B22" s="4" t="inlineStr">
        <is>
          <t>13</t>
        </is>
      </c>
      <c r="C22" s="5" t="inlineStr">
        <is>
          <t>The administrative and system navigation flows are logically organized.</t>
        </is>
      </c>
      <c r="D22" s="4" t="n">
        <v>8</v>
      </c>
      <c r="E22" s="25">
        <f>'Evaluators &amp; Raw Ratings'!R15</f>
        <v/>
      </c>
      <c r="F22" s="25">
        <f>'Evaluators &amp; Raw Ratings'!R16</f>
        <v/>
      </c>
      <c r="G22" s="4">
        <f>IF(E22&gt;=4.2,"Excellent",IF(E22&gt;=3.4,"Very Good",IF(E22&gt;=2.6,"Good",IF(E22&gt;=1.8,"Fair","Poor"))))</f>
        <v/>
      </c>
    </row>
    <row r="23" ht="21" customHeight="1">
      <c r="A23" s="20" t="inlineStr">
        <is>
          <t>Usability (Subscale Composite)</t>
        </is>
      </c>
      <c r="B23" s="19" t="inlineStr"/>
      <c r="C23" s="20" t="inlineStr">
        <is>
          <t>Subscale Composite Score (2 Items, N=8 Valid Evaluators)</t>
        </is>
      </c>
      <c r="D23" s="19" t="n">
        <v>8</v>
      </c>
      <c r="E23" s="23">
        <f>AVERAGE('Numeric Matrix (SPSS Ready)'!Z2:Z11)</f>
        <v/>
      </c>
      <c r="F23" s="23">
        <f>STDEV.S('Numeric Matrix (SPSS Ready)'!Z2:Z11)</f>
        <v/>
      </c>
      <c r="G23" s="19">
        <f>IF(E23&gt;=4.2,"Excellent",IF(E23&gt;=3.4,"Very Good",IF(E23&gt;=2.6,"Good",IF(E23&gt;=1.8,"Fair","Poor"))))</f>
        <v/>
      </c>
    </row>
    <row r="24" ht="21" customHeight="1">
      <c r="A24" s="5" t="inlineStr">
        <is>
          <t>Reliability</t>
        </is>
      </c>
      <c r="B24" s="4" t="inlineStr">
        <is>
          <t>14</t>
        </is>
      </c>
      <c r="C24" s="5" t="inlineStr">
        <is>
          <t>The system recovers smoothly in the event of an input error, spam-clicking, or interrupted gameplay.</t>
        </is>
      </c>
      <c r="D24" s="4" t="n">
        <v>10</v>
      </c>
      <c r="E24" s="25">
        <f>'Evaluators &amp; Raw Ratings'!S15</f>
        <v/>
      </c>
      <c r="F24" s="25">
        <f>'Evaluators &amp; Raw Ratings'!S16</f>
        <v/>
      </c>
      <c r="G24" s="4">
        <f>IF(E24&gt;=4.2,"Excellent",IF(E24&gt;=3.4,"Very Good",IF(E24&gt;=2.6,"Good",IF(E24&gt;=1.8,"Fair","Poor"))))</f>
        <v/>
      </c>
    </row>
    <row r="25" ht="21" customHeight="1">
      <c r="A25" s="5" t="inlineStr">
        <is>
          <t>Reliability</t>
        </is>
      </c>
      <c r="B25" s="4" t="inlineStr">
        <is>
          <t>15</t>
        </is>
      </c>
      <c r="C25" s="5" t="inlineStr">
        <is>
          <t>The game tracks and stores gameplay telemetry consistently without data loss.</t>
        </is>
      </c>
      <c r="D25" s="4" t="n">
        <v>10</v>
      </c>
      <c r="E25" s="25">
        <f>'Evaluators &amp; Raw Ratings'!T15</f>
        <v/>
      </c>
      <c r="F25" s="25">
        <f>'Evaluators &amp; Raw Ratings'!T16</f>
        <v/>
      </c>
      <c r="G25" s="4">
        <f>IF(E25&gt;=4.2,"Excellent",IF(E25&gt;=3.4,"Very Good",IF(E25&gt;=2.6,"Good",IF(E25&gt;=1.8,"Fair","Poor"))))</f>
        <v/>
      </c>
    </row>
    <row r="26" ht="21" customHeight="1">
      <c r="A26" s="20" t="inlineStr">
        <is>
          <t>Reliability (Subscale Composite)</t>
        </is>
      </c>
      <c r="B26" s="19" t="inlineStr"/>
      <c r="C26" s="20" t="inlineStr">
        <is>
          <t>Subscale Composite Score (2 Items, N=10 Evaluators)</t>
        </is>
      </c>
      <c r="D26" s="19" t="n">
        <v>10</v>
      </c>
      <c r="E26" s="23">
        <f>AVERAGE('Numeric Matrix (SPSS Ready)'!AA2:AA11)</f>
        <v/>
      </c>
      <c r="F26" s="23">
        <f>STDEV.S('Numeric Matrix (SPSS Ready)'!AA2:AA11)</f>
        <v/>
      </c>
      <c r="G26" s="19">
        <f>IF(E26&gt;=4.2,"Excellent",IF(E26&gt;=3.4,"Very Good",IF(E26&gt;=2.6,"Good",IF(E26&gt;=1.8,"Fair","Poor"))))</f>
        <v/>
      </c>
    </row>
    <row r="27" ht="24" customHeight="1">
      <c r="A27" s="27" t="inlineStr">
        <is>
          <t>OVERALL ISO/IEC 25010 QUALITY</t>
        </is>
      </c>
      <c r="B27" s="28" t="inlineStr"/>
      <c r="C27" s="27" t="inlineStr">
        <is>
          <t>Overall System Quality (Evaluator Composite Mean, N=10 Evaluators)</t>
        </is>
      </c>
      <c r="D27" s="28" t="n">
        <v>10</v>
      </c>
      <c r="E27" s="29">
        <f>AVERAGE('Numeric Matrix (SPSS Ready)'!AB2:AB11)</f>
        <v/>
      </c>
      <c r="F27" s="29">
        <f>STDEV.S('Numeric Matrix (SPSS Ready)'!AB2:AB11)</f>
        <v/>
      </c>
      <c r="G27" s="28">
        <f>IF(E27&gt;=4.2,"Excellent",IF(E27&gt;=3.4,"Very Good",IF(E27&gt;=2.6,"Good",IF(E27&gt;=1.8,"Fair","Poor"))))</f>
        <v/>
      </c>
    </row>
    <row r="28"/>
    <row r="29">
      <c r="A29" s="30" t="inlineStr">
        <is>
          <t>Likert Scale Reference (UPHSD Academic Standard):</t>
        </is>
      </c>
    </row>
    <row r="30">
      <c r="A30" s="30" t="inlineStr">
        <is>
          <t>4.20 - 5.00</t>
        </is>
      </c>
      <c r="B30" s="30" t="inlineStr">
        <is>
          <t>Excellent</t>
        </is>
      </c>
      <c r="C30" s="31" t="inlineStr">
        <is>
          <t>System demonstrates optimal software engineering standard / Strongly Agree</t>
        </is>
      </c>
    </row>
    <row r="31">
      <c r="A31" s="30" t="inlineStr">
        <is>
          <t>3.40 - 4.19</t>
        </is>
      </c>
      <c r="B31" s="30" t="inlineStr">
        <is>
          <t>Very Good</t>
        </is>
      </c>
      <c r="C31" s="31" t="inlineStr">
        <is>
          <t>System meets standard specifications with minor optional enhancements / Agree</t>
        </is>
      </c>
    </row>
    <row r="32">
      <c r="A32" s="30" t="inlineStr">
        <is>
          <t>2.60 - 3.39</t>
        </is>
      </c>
      <c r="B32" s="30" t="inlineStr">
        <is>
          <t>Good</t>
        </is>
      </c>
      <c r="C32" s="31" t="inlineStr">
        <is>
          <t>Acceptable performance with moderate revision needed / Neutral</t>
        </is>
      </c>
    </row>
    <row r="33">
      <c r="A33" s="30" t="inlineStr">
        <is>
          <t>1.80 - 2.59</t>
        </is>
      </c>
      <c r="B33" s="30" t="inlineStr">
        <is>
          <t>Fair</t>
        </is>
      </c>
      <c r="C33" s="31" t="inlineStr">
        <is>
          <t>Substantial performance limitations / Disagree</t>
        </is>
      </c>
    </row>
    <row r="34">
      <c r="A34" s="30" t="inlineStr">
        <is>
          <t>1.00 - 1.79</t>
        </is>
      </c>
      <c r="B34" s="30" t="inlineStr">
        <is>
          <t>Poor</t>
        </is>
      </c>
      <c r="C34" s="31" t="inlineStr">
        <is>
          <t>Major defect or non-functional characteristic / Strongly Disagree</t>
        </is>
      </c>
    </row>
    <row r="35"/>
    <row r="36">
      <c r="A36" s="30" t="inlineStr">
        <is>
          <t>Psychometric Reliability &amp; Statistician Notes:</t>
        </is>
      </c>
    </row>
    <row r="37">
      <c r="A37" s="30" t="inlineStr">
        <is>
          <t>Cronbach's Alpha (k=15 items)</t>
        </is>
      </c>
      <c r="B37" s="30" t="inlineStr">
        <is>
          <t>0.9329</t>
        </is>
      </c>
      <c r="C37" s="31" t="inlineStr">
        <is>
          <t>Excellent internal consistency across completed instrument cases (N=8).</t>
        </is>
      </c>
    </row>
    <row r="38">
      <c r="A38" s="30" t="inlineStr">
        <is>
          <t>Cronbach's Alpha (k=13 common items)</t>
        </is>
      </c>
      <c r="B38" s="30" t="inlineStr">
        <is>
          <t>0.9102</t>
        </is>
      </c>
      <c r="C38" s="31" t="inlineStr">
        <is>
          <t>Excellent internal consistency across all N=10 evaluators.</t>
        </is>
      </c>
    </row>
    <row r="39">
      <c r="A39" s="30" t="inlineStr">
        <is>
          <t>Handling of Missing Values</t>
        </is>
      </c>
      <c r="B39" s="30" t="inlineStr">
        <is>
          <t>Listwise / Pairwise</t>
        </is>
      </c>
      <c r="C39" s="31" t="inlineStr">
        <is>
          <t>EXP-02 &amp; EXP-06 omitted Q12 &amp; Q13; preserved as empty/null to avoid artificial imputation.</t>
        </is>
      </c>
    </row>
    <row r="40">
      <c r="A40" s="30" t="inlineStr">
        <is>
          <t>Unit of Analysis (Subscale SDs)</t>
        </is>
      </c>
      <c r="B40" s="30" t="inlineStr">
        <is>
          <t>Evaluator Level</t>
        </is>
      </c>
      <c r="C40" s="31" t="inlineStr">
        <is>
          <t>Reported Subscale SD reflects variance between evaluators (df=9) rather than item pooling.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2026-10-28T03:40:56Z</dcterms:created>
  <dcterms:modified xmlns:dcterms="http://purl.org/dc/terms/" xmlns:xsi="http://www.w3.org/2001/XMLSchema-instance" xsi:type="dcterms:W3CDTF">2026-10-28T03:40:56Z</dcterms:modified>
</cp:coreProperties>
</file>