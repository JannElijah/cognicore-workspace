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ors &amp; Raw Ratings" sheetId="1" state="visible" r:id="rId1"/>
    <sheet xmlns:r="http://schemas.openxmlformats.org/officeDocument/2006/relationships" name="Numeric Matrix (SPSS Ready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EAEEF7"/>
        <bgColor rgb="00EAEEF7"/>
      </patternFill>
    </fill>
    <fill>
      <patternFill patternType="solid">
        <fgColor rgb="002F5597"/>
        <bgColor rgb="002F5597"/>
      </patternFill>
    </fill>
    <fill>
      <patternFill patternType="solid">
        <fgColor rgb="00B4C6E7"/>
        <bgColor rgb="00B4C6E7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" fontId="5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" fontId="5" fillId="3" borderId="2" applyAlignment="1" pivotButton="0" quotePrefix="0" xfId="0">
      <alignment horizontal="center" vertical="center"/>
    </xf>
    <xf numFmtId="2" fontId="4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/>
    </xf>
    <xf numFmtId="0" fontId="0" fillId="4" borderId="3" pivotButton="0" quotePrefix="0" xfId="0"/>
    <xf numFmtId="2" fontId="4" fillId="4" borderId="3" applyAlignment="1" pivotButton="0" quotePrefix="0" xfId="0">
      <alignment horizontal="center" vertical="center"/>
    </xf>
    <xf numFmtId="2" fontId="4" fillId="4" borderId="3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0" fillId="4" borderId="2" pivotButton="0" quotePrefix="0" xfId="0"/>
    <xf numFmtId="2" fontId="4" fillId="4" borderId="2" applyAlignment="1" pivotButton="0" quotePrefix="0" xfId="0">
      <alignment horizontal="center" vertical="center"/>
    </xf>
    <xf numFmtId="2" fontId="4" fillId="4" borderId="2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2" fontId="5" fillId="0" borderId="2" applyAlignment="1" pivotButton="0" quotePrefix="0" xfId="0">
      <alignment horizontal="right" vertical="center"/>
    </xf>
    <xf numFmtId="2" fontId="5" fillId="3" borderId="2" applyAlignment="1" pivotButton="0" quotePrefix="0" xfId="0">
      <alignment horizontal="right" vertical="center"/>
    </xf>
    <xf numFmtId="0" fontId="4" fillId="6" borderId="3" applyAlignment="1" pivotButton="0" quotePrefix="0" xfId="0">
      <alignment horizontal="left" vertical="center"/>
    </xf>
    <xf numFmtId="0" fontId="4" fillId="6" borderId="3" applyAlignment="1" pivotButton="0" quotePrefix="0" xfId="0">
      <alignment horizontal="center" vertical="center"/>
    </xf>
    <xf numFmtId="2" fontId="4" fillId="6" borderId="3" applyAlignment="1" pivotButton="0" quotePrefix="0" xfId="0">
      <alignment horizontal="right" vertic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2" customWidth="1" min="3" max="3"/>
    <col width="18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6" customWidth="1" min="21" max="21"/>
    <col width="22" customWidth="1" min="22" max="22"/>
    <col width="38" customWidth="1" min="23" max="23"/>
  </cols>
  <sheetData>
    <row r="1">
      <c r="A1" s="1" t="inlineStr">
        <is>
          <t>COGNICORE: ISO/IEC 25010 SOFTWARE QUALITY TECHNICAL EVALUATION (N=10)</t>
        </is>
      </c>
    </row>
    <row r="2">
      <c r="A2" s="2" t="inlineStr">
        <is>
          <t>Evaluator Profiles, Item Responses (Q1-Q15), and Descriptive Statistics (Scale: 5-Excellent, 4-Very Good, 3-Good, 2-Fair, 1-Poor)</t>
        </is>
      </c>
    </row>
    <row r="4" ht="28" customHeight="1">
      <c r="A4" s="3" t="inlineStr">
        <is>
          <t>Evaluator ID</t>
        </is>
      </c>
      <c r="B4" s="3" t="inlineStr">
        <is>
          <t>Evaluator Name</t>
        </is>
      </c>
      <c r="C4" s="3" t="inlineStr">
        <is>
          <t>Profession / IT Designation</t>
        </is>
      </c>
      <c r="D4" s="3" t="inlineStr">
        <is>
          <t>Years of Exp</t>
        </is>
      </c>
      <c r="E4" s="3" t="inlineStr">
        <is>
          <t>Date Evaluated</t>
        </is>
      </c>
      <c r="F4" s="3" t="inlineStr">
        <is>
          <t>Q01 (Func)</t>
        </is>
      </c>
      <c r="G4" s="3" t="inlineStr">
        <is>
          <t>Q02 (Func)</t>
        </is>
      </c>
      <c r="H4" s="3" t="inlineStr">
        <is>
          <t>Q03 (Func)</t>
        </is>
      </c>
      <c r="I4" s="3" t="inlineStr">
        <is>
          <t>Q04 (Sec)</t>
        </is>
      </c>
      <c r="J4" s="3" t="inlineStr">
        <is>
          <t>Q05 (Maint)</t>
        </is>
      </c>
      <c r="K4" s="3" t="inlineStr">
        <is>
          <t>Q06 (Maint)</t>
        </is>
      </c>
      <c r="L4" s="3" t="inlineStr">
        <is>
          <t>Q07 (Port)</t>
        </is>
      </c>
      <c r="M4" s="3" t="inlineStr">
        <is>
          <t>Q08 (Perf)</t>
        </is>
      </c>
      <c r="N4" s="3" t="inlineStr">
        <is>
          <t>Q09 (Perf)</t>
        </is>
      </c>
      <c r="O4" s="3" t="inlineStr">
        <is>
          <t>Q10 (Comp)</t>
        </is>
      </c>
      <c r="P4" s="3" t="inlineStr">
        <is>
          <t>Q11 (Comp)</t>
        </is>
      </c>
      <c r="Q4" s="3" t="inlineStr">
        <is>
          <t>Q12 (Usab)</t>
        </is>
      </c>
      <c r="R4" s="3" t="inlineStr">
        <is>
          <t>Q13 (Usab)</t>
        </is>
      </c>
      <c r="S4" s="3" t="inlineStr">
        <is>
          <t>Q14 (Rel)</t>
        </is>
      </c>
      <c r="T4" s="3" t="inlineStr">
        <is>
          <t>Q15 (Rel)</t>
        </is>
      </c>
      <c r="U4" s="3" t="inlineStr">
        <is>
          <t>Evaluator Mean</t>
        </is>
      </c>
      <c r="V4" s="3" t="inlineStr">
        <is>
          <t>Verbal Interpretation</t>
        </is>
      </c>
      <c r="W4" s="3" t="inlineStr">
        <is>
          <t>Evaluator Remarks &amp; Recommendations</t>
        </is>
      </c>
    </row>
    <row r="5" ht="20" customHeight="1">
      <c r="A5" s="4" t="inlineStr">
        <is>
          <t>EXP-01</t>
        </is>
      </c>
      <c r="B5" s="5" t="inlineStr">
        <is>
          <t>Sarah Jane Limpiado</t>
        </is>
      </c>
      <c r="C5" s="5" t="inlineStr">
        <is>
          <t>Operations Quality Auditor</t>
        </is>
      </c>
      <c r="D5" s="4" t="n">
        <v>9</v>
      </c>
      <c r="E5" s="4" t="inlineStr">
        <is>
          <t>2026-10-14</t>
        </is>
      </c>
      <c r="F5" s="6" t="n">
        <v>5</v>
      </c>
      <c r="G5" s="6" t="n">
        <v>5</v>
      </c>
      <c r="H5" s="6" t="n">
        <v>5</v>
      </c>
      <c r="I5" s="6" t="n">
        <v>5</v>
      </c>
      <c r="J5" s="6" t="n">
        <v>5</v>
      </c>
      <c r="K5" s="6" t="n">
        <v>5</v>
      </c>
      <c r="L5" s="6" t="n">
        <v>5</v>
      </c>
      <c r="M5" s="6" t="n">
        <v>5</v>
      </c>
      <c r="N5" s="6" t="n">
        <v>5</v>
      </c>
      <c r="O5" s="6" t="n">
        <v>5</v>
      </c>
      <c r="P5" s="6" t="n">
        <v>5</v>
      </c>
      <c r="Q5" s="6" t="n">
        <v>5</v>
      </c>
      <c r="R5" s="6" t="n">
        <v>5</v>
      </c>
      <c r="S5" s="6" t="n">
        <v>5</v>
      </c>
      <c r="T5" s="6" t="n">
        <v>5</v>
      </c>
      <c r="U5" s="7">
        <f>AVERAGE(F5:T5)</f>
        <v/>
      </c>
      <c r="V5" s="8">
        <f>IF(U5&gt;=4.2,"Excellent",IF(U5&gt;=3.4,"Very Good",IF(U5&gt;=2.6,"Good",IF(U5&gt;=1.8,"Fair","Poor"))))</f>
        <v/>
      </c>
      <c r="W5" s="5" t="inlineStr"/>
    </row>
    <row r="6" ht="20" customHeight="1">
      <c r="A6" s="9" t="inlineStr">
        <is>
          <t>EXP-02</t>
        </is>
      </c>
      <c r="B6" s="10" t="inlineStr">
        <is>
          <t>Abby Briones</t>
        </is>
      </c>
      <c r="C6" s="10" t="inlineStr">
        <is>
          <t>IT Support</t>
        </is>
      </c>
      <c r="D6" s="9" t="n">
        <v>3</v>
      </c>
      <c r="E6" s="9" t="inlineStr">
        <is>
          <t>2026-10-13</t>
        </is>
      </c>
      <c r="F6" s="11" t="n">
        <v>5</v>
      </c>
      <c r="G6" s="11" t="n">
        <v>4</v>
      </c>
      <c r="H6" s="11" t="n">
        <v>4</v>
      </c>
      <c r="I6" s="11" t="n">
        <v>4</v>
      </c>
      <c r="J6" s="11" t="n">
        <v>4</v>
      </c>
      <c r="K6" s="11" t="n">
        <v>5</v>
      </c>
      <c r="L6" s="11" t="n">
        <v>4</v>
      </c>
      <c r="M6" s="11" t="n">
        <v>5</v>
      </c>
      <c r="N6" s="11" t="n">
        <v>4</v>
      </c>
      <c r="O6" s="11" t="n">
        <v>4</v>
      </c>
      <c r="P6" s="11" t="n">
        <v>4</v>
      </c>
      <c r="Q6" s="9" t="n"/>
      <c r="R6" s="9" t="n"/>
      <c r="S6" s="11" t="n">
        <v>5</v>
      </c>
      <c r="T6" s="11" t="n">
        <v>5</v>
      </c>
      <c r="U6" s="12">
        <f>AVERAGE(F6:T6)</f>
        <v/>
      </c>
      <c r="V6" s="13">
        <f>IF(U6&gt;=4.2,"Excellent",IF(U6&gt;=3.4,"Very Good",IF(U6&gt;=2.6,"Good",IF(U6&gt;=1.8,"Fair","Poor"))))</f>
        <v/>
      </c>
      <c r="W6" s="10" t="inlineStr"/>
    </row>
    <row r="7" ht="20" customHeight="1">
      <c r="A7" s="4" t="inlineStr">
        <is>
          <t>EXP-03</t>
        </is>
      </c>
      <c r="B7" s="5" t="inlineStr">
        <is>
          <t>Aldwin Legaspi</t>
        </is>
      </c>
      <c r="C7" s="5" t="inlineStr">
        <is>
          <t>IT Service Desk</t>
        </is>
      </c>
      <c r="D7" s="4" t="n">
        <v>4</v>
      </c>
      <c r="E7" s="4" t="inlineStr">
        <is>
          <t>2026-10-08</t>
        </is>
      </c>
      <c r="F7" s="6" t="n">
        <v>5</v>
      </c>
      <c r="G7" s="6" t="n">
        <v>5</v>
      </c>
      <c r="H7" s="6" t="n">
        <v>4</v>
      </c>
      <c r="I7" s="6" t="n">
        <v>5</v>
      </c>
      <c r="J7" s="6" t="n">
        <v>4</v>
      </c>
      <c r="K7" s="6" t="n">
        <v>5</v>
      </c>
      <c r="L7" s="6" t="n">
        <v>4</v>
      </c>
      <c r="M7" s="6" t="n">
        <v>5</v>
      </c>
      <c r="N7" s="6" t="n">
        <v>5</v>
      </c>
      <c r="O7" s="6" t="n">
        <v>5</v>
      </c>
      <c r="P7" s="6" t="n">
        <v>5</v>
      </c>
      <c r="Q7" s="6" t="n">
        <v>4</v>
      </c>
      <c r="R7" s="6" t="n">
        <v>5</v>
      </c>
      <c r="S7" s="6" t="n">
        <v>5</v>
      </c>
      <c r="T7" s="6" t="n">
        <v>5</v>
      </c>
      <c r="U7" s="7">
        <f>AVERAGE(F7:T7)</f>
        <v/>
      </c>
      <c r="V7" s="8">
        <f>IF(U7&gt;=4.2,"Excellent",IF(U7&gt;=3.4,"Very Good",IF(U7&gt;=2.6,"Good",IF(U7&gt;=1.8,"Fair","Poor"))))</f>
        <v/>
      </c>
      <c r="W7" s="5" t="inlineStr"/>
    </row>
    <row r="8" ht="20" customHeight="1">
      <c r="A8" s="9" t="inlineStr">
        <is>
          <t>EXP-04</t>
        </is>
      </c>
      <c r="B8" s="10" t="inlineStr">
        <is>
          <t>Anonymous (IT-1)</t>
        </is>
      </c>
      <c r="C8" s="10" t="inlineStr">
        <is>
          <t>IT Helpdesk</t>
        </is>
      </c>
      <c r="D8" s="9" t="n">
        <v>4</v>
      </c>
      <c r="E8" s="9" t="inlineStr">
        <is>
          <t>2026-10-13</t>
        </is>
      </c>
      <c r="F8" s="11" t="n">
        <v>5</v>
      </c>
      <c r="G8" s="11" t="n">
        <v>5</v>
      </c>
      <c r="H8" s="11" t="n">
        <v>5</v>
      </c>
      <c r="I8" s="11" t="n">
        <v>5</v>
      </c>
      <c r="J8" s="11" t="n">
        <v>5</v>
      </c>
      <c r="K8" s="11" t="n">
        <v>5</v>
      </c>
      <c r="L8" s="11" t="n">
        <v>5</v>
      </c>
      <c r="M8" s="11" t="n">
        <v>5</v>
      </c>
      <c r="N8" s="11" t="n">
        <v>5</v>
      </c>
      <c r="O8" s="11" t="n">
        <v>5</v>
      </c>
      <c r="P8" s="11" t="n">
        <v>5</v>
      </c>
      <c r="Q8" s="11" t="n">
        <v>5</v>
      </c>
      <c r="R8" s="11" t="n">
        <v>5</v>
      </c>
      <c r="S8" s="11" t="n">
        <v>5</v>
      </c>
      <c r="T8" s="11" t="n">
        <v>5</v>
      </c>
      <c r="U8" s="12">
        <f>AVERAGE(F8:T8)</f>
        <v/>
      </c>
      <c r="V8" s="13">
        <f>IF(U8&gt;=4.2,"Excellent",IF(U8&gt;=3.4,"Very Good",IF(U8&gt;=2.6,"Good",IF(U8&gt;=1.8,"Fair","Poor"))))</f>
        <v/>
      </c>
      <c r="W8" s="10" t="inlineStr"/>
    </row>
    <row r="9" ht="20" customHeight="1">
      <c r="A9" s="4" t="inlineStr">
        <is>
          <t>EXP-05</t>
        </is>
      </c>
      <c r="B9" s="5" t="inlineStr">
        <is>
          <t>Anonymous (IT-2)</t>
        </is>
      </c>
      <c r="C9" s="5" t="inlineStr">
        <is>
          <t>IT Helpdesk</t>
        </is>
      </c>
      <c r="D9" s="4" t="n">
        <v>2</v>
      </c>
      <c r="E9" s="4" t="inlineStr">
        <is>
          <t>2026-10-14</t>
        </is>
      </c>
      <c r="F9" s="6" t="n">
        <v>5</v>
      </c>
      <c r="G9" s="6" t="n">
        <v>5</v>
      </c>
      <c r="H9" s="6" t="n">
        <v>5</v>
      </c>
      <c r="I9" s="6" t="n">
        <v>5</v>
      </c>
      <c r="J9" s="6" t="n">
        <v>5</v>
      </c>
      <c r="K9" s="6" t="n">
        <v>5</v>
      </c>
      <c r="L9" s="6" t="n">
        <v>5</v>
      </c>
      <c r="M9" s="6" t="n">
        <v>5</v>
      </c>
      <c r="N9" s="6" t="n">
        <v>5</v>
      </c>
      <c r="O9" s="6" t="n">
        <v>4</v>
      </c>
      <c r="P9" s="6" t="n">
        <v>4</v>
      </c>
      <c r="Q9" s="6" t="n">
        <v>5</v>
      </c>
      <c r="R9" s="6" t="n">
        <v>4</v>
      </c>
      <c r="S9" s="6" t="n">
        <v>5</v>
      </c>
      <c r="T9" s="6" t="n">
        <v>5</v>
      </c>
      <c r="U9" s="7">
        <f>AVERAGE(F9:T9)</f>
        <v/>
      </c>
      <c r="V9" s="8">
        <f>IF(U9&gt;=4.2,"Excellent",IF(U9&gt;=3.4,"Very Good",IF(U9&gt;=2.6,"Good",IF(U9&gt;=1.8,"Fair","Poor"))))</f>
        <v/>
      </c>
      <c r="W9" s="5" t="inlineStr"/>
    </row>
    <row r="10" ht="20" customHeight="1">
      <c r="A10" s="9" t="inlineStr">
        <is>
          <t>EXP-06</t>
        </is>
      </c>
      <c r="B10" s="10" t="inlineStr">
        <is>
          <t>Clark Von Cabural</t>
        </is>
      </c>
      <c r="C10" s="10" t="inlineStr">
        <is>
          <t>IT Security Operations Analyst</t>
        </is>
      </c>
      <c r="D10" s="9" t="n">
        <v>7</v>
      </c>
      <c r="E10" s="9" t="inlineStr">
        <is>
          <t>2026-10-12</t>
        </is>
      </c>
      <c r="F10" s="11" t="n">
        <v>5</v>
      </c>
      <c r="G10" s="11" t="n">
        <v>4</v>
      </c>
      <c r="H10" s="11" t="n">
        <v>5</v>
      </c>
      <c r="I10" s="11" t="n">
        <v>4</v>
      </c>
      <c r="J10" s="11" t="n">
        <v>4</v>
      </c>
      <c r="K10" s="11" t="n">
        <v>5</v>
      </c>
      <c r="L10" s="11" t="n">
        <v>4</v>
      </c>
      <c r="M10" s="11" t="n">
        <v>5</v>
      </c>
      <c r="N10" s="11" t="n">
        <v>4</v>
      </c>
      <c r="O10" s="11" t="n">
        <v>4</v>
      </c>
      <c r="P10" s="11" t="n">
        <v>4</v>
      </c>
      <c r="Q10" s="9" t="n"/>
      <c r="R10" s="9" t="n"/>
      <c r="S10" s="11" t="n">
        <v>5</v>
      </c>
      <c r="T10" s="11" t="n">
        <v>5</v>
      </c>
      <c r="U10" s="12">
        <f>AVERAGE(F10:T10)</f>
        <v/>
      </c>
      <c r="V10" s="13">
        <f>IF(U10&gt;=4.2,"Excellent",IF(U10&gt;=3.4,"Very Good",IF(U10&gt;=2.6,"Good",IF(U10&gt;=1.8,"Fair","Poor"))))</f>
        <v/>
      </c>
      <c r="W10" s="10" t="inlineStr"/>
    </row>
    <row r="11" ht="20" customHeight="1">
      <c r="A11" s="4" t="inlineStr">
        <is>
          <t>EXP-07</t>
        </is>
      </c>
      <c r="B11" s="5" t="inlineStr">
        <is>
          <t>Fe Antonio</t>
        </is>
      </c>
      <c r="C11" s="5" t="inlineStr">
        <is>
          <t>IT Professor</t>
        </is>
      </c>
      <c r="D11" s="4" t="n">
        <v>2</v>
      </c>
      <c r="E11" s="4" t="inlineStr">
        <is>
          <t>2026-10-09</t>
        </is>
      </c>
      <c r="F11" s="6" t="n">
        <v>5</v>
      </c>
      <c r="G11" s="6" t="n">
        <v>5</v>
      </c>
      <c r="H11" s="6" t="n">
        <v>5</v>
      </c>
      <c r="I11" s="6" t="n">
        <v>5</v>
      </c>
      <c r="J11" s="6" t="n">
        <v>5</v>
      </c>
      <c r="K11" s="6" t="n">
        <v>5</v>
      </c>
      <c r="L11" s="6" t="n">
        <v>5</v>
      </c>
      <c r="M11" s="6" t="n">
        <v>5</v>
      </c>
      <c r="N11" s="6" t="n">
        <v>5</v>
      </c>
      <c r="O11" s="6" t="n">
        <v>5</v>
      </c>
      <c r="P11" s="6" t="n">
        <v>5</v>
      </c>
      <c r="Q11" s="6" t="n">
        <v>5</v>
      </c>
      <c r="R11" s="6" t="n">
        <v>5</v>
      </c>
      <c r="S11" s="6" t="n">
        <v>5</v>
      </c>
      <c r="T11" s="6" t="n">
        <v>5</v>
      </c>
      <c r="U11" s="7">
        <f>AVERAGE(F11:T11)</f>
        <v/>
      </c>
      <c r="V11" s="8">
        <f>IF(U11&gt;=4.2,"Excellent",IF(U11&gt;=3.4,"Very Good",IF(U11&gt;=2.6,"Good",IF(U11&gt;=1.8,"Fair","Poor"))))</f>
        <v/>
      </c>
      <c r="W11" s="5" t="inlineStr"/>
    </row>
    <row r="12" ht="20" customHeight="1">
      <c r="A12" s="9" t="inlineStr">
        <is>
          <t>EXP-08</t>
        </is>
      </c>
      <c r="B12" s="10" t="inlineStr">
        <is>
          <t>Homer Favenir</t>
        </is>
      </c>
      <c r="C12" s="10" t="inlineStr">
        <is>
          <t>Software Engineer</t>
        </is>
      </c>
      <c r="D12" s="9" t="n">
        <v>5</v>
      </c>
      <c r="E12" s="9" t="inlineStr">
        <is>
          <t>2026-10-12</t>
        </is>
      </c>
      <c r="F12" s="11" t="n">
        <v>5</v>
      </c>
      <c r="G12" s="11" t="n">
        <v>4</v>
      </c>
      <c r="H12" s="11" t="n">
        <v>5</v>
      </c>
      <c r="I12" s="11" t="n">
        <v>4</v>
      </c>
      <c r="J12" s="11" t="n">
        <v>5</v>
      </c>
      <c r="K12" s="11" t="n">
        <v>5</v>
      </c>
      <c r="L12" s="11" t="n">
        <v>4</v>
      </c>
      <c r="M12" s="11" t="n">
        <v>5</v>
      </c>
      <c r="N12" s="11" t="n">
        <v>4</v>
      </c>
      <c r="O12" s="11" t="n">
        <v>5</v>
      </c>
      <c r="P12" s="11" t="n">
        <v>4</v>
      </c>
      <c r="Q12" s="11" t="n">
        <v>5</v>
      </c>
      <c r="R12" s="11" t="n">
        <v>4</v>
      </c>
      <c r="S12" s="11" t="n">
        <v>4</v>
      </c>
      <c r="T12" s="11" t="n">
        <v>5</v>
      </c>
      <c r="U12" s="12">
        <f>AVERAGE(F12:T12)</f>
        <v/>
      </c>
      <c r="V12" s="13">
        <f>IF(U12&gt;=4.2,"Excellent",IF(U12&gt;=3.4,"Very Good",IF(U12&gt;=2.6,"Good",IF(U12&gt;=1.8,"Fair","Poor"))))</f>
        <v/>
      </c>
      <c r="W12" s="10" t="inlineStr"/>
    </row>
    <row r="13" ht="20" customHeight="1">
      <c r="A13" s="4" t="inlineStr">
        <is>
          <t>EXP-09</t>
        </is>
      </c>
      <c r="B13" s="5" t="inlineStr">
        <is>
          <t>Patrick G Gonzales</t>
        </is>
      </c>
      <c r="C13" s="5" t="inlineStr">
        <is>
          <t>Game Tester</t>
        </is>
      </c>
      <c r="D13" s="4" t="n">
        <v>2</v>
      </c>
      <c r="E13" s="4" t="inlineStr">
        <is>
          <t>2026-10-08</t>
        </is>
      </c>
      <c r="F13" s="6" t="n">
        <v>5</v>
      </c>
      <c r="G13" s="6" t="n">
        <v>5</v>
      </c>
      <c r="H13" s="6" t="n">
        <v>5</v>
      </c>
      <c r="I13" s="6" t="n">
        <v>4</v>
      </c>
      <c r="J13" s="6" t="n">
        <v>5</v>
      </c>
      <c r="K13" s="6" t="n">
        <v>4</v>
      </c>
      <c r="L13" s="6" t="n">
        <v>5</v>
      </c>
      <c r="M13" s="6" t="n">
        <v>5</v>
      </c>
      <c r="N13" s="6" t="n">
        <v>4</v>
      </c>
      <c r="O13" s="6" t="n">
        <v>5</v>
      </c>
      <c r="P13" s="6" t="n">
        <v>5</v>
      </c>
      <c r="Q13" s="6" t="n">
        <v>5</v>
      </c>
      <c r="R13" s="6" t="n">
        <v>5</v>
      </c>
      <c r="S13" s="6" t="n">
        <v>5</v>
      </c>
      <c r="T13" s="6" t="n">
        <v>4</v>
      </c>
      <c r="U13" s="7">
        <f>AVERAGE(F13:T13)</f>
        <v/>
      </c>
      <c r="V13" s="8">
        <f>IF(U13&gt;=4.2,"Excellent",IF(U13&gt;=3.4,"Very Good",IF(U13&gt;=2.6,"Good",IF(U13&gt;=1.8,"Fair","Poor"))))</f>
        <v/>
      </c>
      <c r="W13" s="5" t="inlineStr"/>
    </row>
    <row r="14" ht="20" customHeight="1">
      <c r="A14" s="9" t="inlineStr">
        <is>
          <t>EXP-10</t>
        </is>
      </c>
      <c r="B14" s="10" t="inlineStr">
        <is>
          <t>Roberto Malitao</t>
        </is>
      </c>
      <c r="C14" s="10" t="inlineStr">
        <is>
          <t>IT Consultant</t>
        </is>
      </c>
      <c r="D14" s="9" t="n">
        <v>3</v>
      </c>
      <c r="E14" s="9" t="inlineStr">
        <is>
          <t>2026-10-08</t>
        </is>
      </c>
      <c r="F14" s="11" t="n">
        <v>4</v>
      </c>
      <c r="G14" s="11" t="n">
        <v>4</v>
      </c>
      <c r="H14" s="11" t="n">
        <v>4</v>
      </c>
      <c r="I14" s="11" t="n">
        <v>4</v>
      </c>
      <c r="J14" s="11" t="n">
        <v>4</v>
      </c>
      <c r="K14" s="11" t="n">
        <v>4</v>
      </c>
      <c r="L14" s="11" t="n">
        <v>4</v>
      </c>
      <c r="M14" s="11" t="n">
        <v>4</v>
      </c>
      <c r="N14" s="11" t="n">
        <v>4</v>
      </c>
      <c r="O14" s="11" t="n">
        <v>4</v>
      </c>
      <c r="P14" s="11" t="n">
        <v>4</v>
      </c>
      <c r="Q14" s="11" t="n">
        <v>4</v>
      </c>
      <c r="R14" s="11" t="n">
        <v>4</v>
      </c>
      <c r="S14" s="11" t="n">
        <v>4</v>
      </c>
      <c r="T14" s="11" t="n">
        <v>4</v>
      </c>
      <c r="U14" s="12">
        <f>AVERAGE(F14:T14)</f>
        <v/>
      </c>
      <c r="V14" s="13">
        <f>IF(U14&gt;=4.2,"Excellent",IF(U14&gt;=3.4,"Very Good",IF(U14&gt;=2.6,"Good",IF(U14&gt;=1.8,"Fair","Poor"))))</f>
        <v/>
      </c>
      <c r="W14" s="10" t="inlineStr">
        <is>
          <t>Excellent! Keep it up!</t>
        </is>
      </c>
    </row>
    <row r="15" ht="22" customHeight="1"/>
    <row r="16" ht="22" customHeight="1"/>
  </sheetData>
  <mergeCells count="2">
    <mergeCell ref="A2:W2"/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18" customWidth="1" min="4" max="4"/>
    <col width="16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20" customWidth="1" min="21" max="21"/>
    <col width="20" customWidth="1" min="22" max="22"/>
    <col width="11" customWidth="1" min="23" max="23"/>
    <col width="20" customWidth="1" min="24" max="24"/>
    <col width="20" customWidth="1" min="25" max="25"/>
    <col width="46" customWidth="1" min="26" max="26"/>
    <col width="20" customWidth="1" min="27" max="27"/>
    <col width="20" customWidth="1" min="28" max="28"/>
  </cols>
  <sheetData>
    <row r="1" ht="28" customHeight="1">
      <c r="A1" s="24" t="inlineStr">
        <is>
          <t>EXP_ID</t>
        </is>
      </c>
      <c r="B1" s="24" t="inlineStr">
        <is>
          <t>Evaluator_Name</t>
        </is>
      </c>
      <c r="C1" s="24" t="inlineStr">
        <is>
          <t>Profession_Designation</t>
        </is>
      </c>
      <c r="D1" s="24" t="inlineStr">
        <is>
          <t>Years_Experience</t>
        </is>
      </c>
      <c r="E1" s="24" t="inlineStr">
        <is>
          <t>Date_Evaluated</t>
        </is>
      </c>
      <c r="F1" s="24" t="inlineStr">
        <is>
          <t>Q01_Func_DDA</t>
        </is>
      </c>
      <c r="G1" s="24" t="inlineStr">
        <is>
          <t>Q02_Func_RFArchetype</t>
        </is>
      </c>
      <c r="H1" s="24" t="inlineStr">
        <is>
          <t>Q03_Func_DomainObj</t>
        </is>
      </c>
      <c r="I1" s="24" t="inlineStr">
        <is>
          <t>Q04_Sec_CredEncrypt</t>
        </is>
      </c>
      <c r="J1" s="24" t="inlineStr">
        <is>
          <t>Q05_Maint_ModularCode</t>
        </is>
      </c>
      <c r="K1" s="24" t="inlineStr">
        <is>
          <t>Q06_Maint_ModuleExtens</t>
        </is>
      </c>
      <c r="L1" s="24" t="inlineStr">
        <is>
          <t>Q07_Port_Deployment</t>
        </is>
      </c>
      <c r="M1" s="24" t="inlineStr">
        <is>
          <t>Q08_Perf_PhaserLatency</t>
        </is>
      </c>
      <c r="N1" s="24" t="inlineStr">
        <is>
          <t>Q09_Perf_FlaskRoute</t>
        </is>
      </c>
      <c r="O1" s="24" t="inlineStr">
        <is>
          <t>Q10_Comp_BrowserCross</t>
        </is>
      </c>
      <c r="P1" s="24" t="inlineStr">
        <is>
          <t>Q11_Comp_ReactFlaskAPI</t>
        </is>
      </c>
      <c r="Q1" s="24" t="inlineStr">
        <is>
          <t>Q12_Usab_RadarVisual</t>
        </is>
      </c>
      <c r="R1" s="24" t="inlineStr">
        <is>
          <t>Q13_Usab_NavHierarchy</t>
        </is>
      </c>
      <c r="S1" s="24" t="inlineStr">
        <is>
          <t>Q14_Rel_ErrorRecovery</t>
        </is>
      </c>
      <c r="T1" s="24" t="inlineStr">
        <is>
          <t>Q15_Rel_TelemetryStore</t>
        </is>
      </c>
    </row>
    <row r="2" ht="20" customHeight="1">
      <c r="A2" s="4" t="inlineStr">
        <is>
          <t>EXP-01</t>
        </is>
      </c>
      <c r="B2" s="5" t="inlineStr">
        <is>
          <t>Sarah Jane Limpiado</t>
        </is>
      </c>
      <c r="C2" s="5" t="inlineStr">
        <is>
          <t>Operations Quality Auditor</t>
        </is>
      </c>
      <c r="D2" s="4" t="n">
        <v>9</v>
      </c>
      <c r="E2" s="4" t="inlineStr">
        <is>
          <t>2026-10-14</t>
        </is>
      </c>
      <c r="F2" s="6" t="n">
        <v>5</v>
      </c>
      <c r="G2" s="6" t="n">
        <v>5</v>
      </c>
      <c r="H2" s="6" t="n">
        <v>5</v>
      </c>
      <c r="I2" s="6" t="n">
        <v>5</v>
      </c>
      <c r="J2" s="6" t="n">
        <v>5</v>
      </c>
      <c r="K2" s="6" t="n">
        <v>5</v>
      </c>
      <c r="L2" s="6" t="n">
        <v>5</v>
      </c>
      <c r="M2" s="6" t="n">
        <v>5</v>
      </c>
      <c r="N2" s="6" t="n">
        <v>5</v>
      </c>
      <c r="O2" s="6" t="n">
        <v>5</v>
      </c>
      <c r="P2" s="6" t="n">
        <v>5</v>
      </c>
      <c r="Q2" s="6" t="n">
        <v>5</v>
      </c>
      <c r="R2" s="6" t="n">
        <v>5</v>
      </c>
      <c r="S2" s="6" t="n">
        <v>5</v>
      </c>
      <c r="T2" s="6" t="n">
        <v>5</v>
      </c>
    </row>
    <row r="3" ht="20" customHeight="1">
      <c r="A3" s="9" t="inlineStr">
        <is>
          <t>EXP-02</t>
        </is>
      </c>
      <c r="B3" s="10" t="inlineStr">
        <is>
          <t>Abby Briones</t>
        </is>
      </c>
      <c r="C3" s="10" t="inlineStr">
        <is>
          <t>IT Support</t>
        </is>
      </c>
      <c r="D3" s="9" t="n">
        <v>3</v>
      </c>
      <c r="E3" s="9" t="inlineStr">
        <is>
          <t>2026-10-13</t>
        </is>
      </c>
      <c r="F3" s="11" t="n">
        <v>5</v>
      </c>
      <c r="G3" s="11" t="n">
        <v>4</v>
      </c>
      <c r="H3" s="11" t="n">
        <v>4</v>
      </c>
      <c r="I3" s="11" t="n">
        <v>4</v>
      </c>
      <c r="J3" s="11" t="n">
        <v>4</v>
      </c>
      <c r="K3" s="11" t="n">
        <v>5</v>
      </c>
      <c r="L3" s="11" t="n">
        <v>4</v>
      </c>
      <c r="M3" s="11" t="n">
        <v>5</v>
      </c>
      <c r="N3" s="11" t="n">
        <v>4</v>
      </c>
      <c r="O3" s="11" t="n">
        <v>4</v>
      </c>
      <c r="P3" s="11" t="n">
        <v>4</v>
      </c>
      <c r="Q3" s="9" t="n"/>
      <c r="R3" s="9" t="n"/>
      <c r="S3" s="11" t="n">
        <v>5</v>
      </c>
      <c r="T3" s="11" t="n">
        <v>5</v>
      </c>
    </row>
    <row r="4" ht="20" customHeight="1">
      <c r="A4" s="4" t="inlineStr">
        <is>
          <t>EXP-03</t>
        </is>
      </c>
      <c r="B4" s="5" t="inlineStr">
        <is>
          <t>Aldwin Legaspi</t>
        </is>
      </c>
      <c r="C4" s="5" t="inlineStr">
        <is>
          <t>IT Service Desk</t>
        </is>
      </c>
      <c r="D4" s="4" t="n">
        <v>4</v>
      </c>
      <c r="E4" s="4" t="inlineStr">
        <is>
          <t>2026-10-08</t>
        </is>
      </c>
      <c r="F4" s="6" t="n">
        <v>5</v>
      </c>
      <c r="G4" s="6" t="n">
        <v>5</v>
      </c>
      <c r="H4" s="6" t="n">
        <v>4</v>
      </c>
      <c r="I4" s="6" t="n">
        <v>5</v>
      </c>
      <c r="J4" s="6" t="n">
        <v>4</v>
      </c>
      <c r="K4" s="6" t="n">
        <v>5</v>
      </c>
      <c r="L4" s="6" t="n">
        <v>4</v>
      </c>
      <c r="M4" s="6" t="n">
        <v>5</v>
      </c>
      <c r="N4" s="6" t="n">
        <v>5</v>
      </c>
      <c r="O4" s="6" t="n">
        <v>5</v>
      </c>
      <c r="P4" s="6" t="n">
        <v>5</v>
      </c>
      <c r="Q4" s="6" t="n">
        <v>4</v>
      </c>
      <c r="R4" s="6" t="n">
        <v>5</v>
      </c>
      <c r="S4" s="6" t="n">
        <v>5</v>
      </c>
      <c r="T4" s="6" t="n">
        <v>5</v>
      </c>
    </row>
    <row r="5" ht="20" customHeight="1">
      <c r="A5" s="9" t="inlineStr">
        <is>
          <t>EXP-04</t>
        </is>
      </c>
      <c r="B5" s="10" t="inlineStr">
        <is>
          <t>Anonymous (IT-1)</t>
        </is>
      </c>
      <c r="C5" s="10" t="inlineStr">
        <is>
          <t>IT Helpdesk</t>
        </is>
      </c>
      <c r="D5" s="9" t="n">
        <v>4</v>
      </c>
      <c r="E5" s="9" t="inlineStr">
        <is>
          <t>2026-10-13</t>
        </is>
      </c>
      <c r="F5" s="11" t="n">
        <v>5</v>
      </c>
      <c r="G5" s="11" t="n">
        <v>5</v>
      </c>
      <c r="H5" s="11" t="n">
        <v>5</v>
      </c>
      <c r="I5" s="11" t="n">
        <v>5</v>
      </c>
      <c r="J5" s="11" t="n">
        <v>5</v>
      </c>
      <c r="K5" s="11" t="n">
        <v>5</v>
      </c>
      <c r="L5" s="11" t="n">
        <v>5</v>
      </c>
      <c r="M5" s="11" t="n">
        <v>5</v>
      </c>
      <c r="N5" s="11" t="n">
        <v>5</v>
      </c>
      <c r="O5" s="11" t="n">
        <v>5</v>
      </c>
      <c r="P5" s="11" t="n">
        <v>5</v>
      </c>
      <c r="Q5" s="11" t="n">
        <v>5</v>
      </c>
      <c r="R5" s="11" t="n">
        <v>5</v>
      </c>
      <c r="S5" s="11" t="n">
        <v>5</v>
      </c>
      <c r="T5" s="11" t="n">
        <v>5</v>
      </c>
    </row>
    <row r="6" ht="20" customHeight="1">
      <c r="A6" s="4" t="inlineStr">
        <is>
          <t>EXP-05</t>
        </is>
      </c>
      <c r="B6" s="5" t="inlineStr">
        <is>
          <t>Anonymous (IT-2)</t>
        </is>
      </c>
      <c r="C6" s="5" t="inlineStr">
        <is>
          <t>IT Helpdesk</t>
        </is>
      </c>
      <c r="D6" s="4" t="n">
        <v>2</v>
      </c>
      <c r="E6" s="4" t="inlineStr">
        <is>
          <t>2026-10-14</t>
        </is>
      </c>
      <c r="F6" s="6" t="n">
        <v>5</v>
      </c>
      <c r="G6" s="6" t="n">
        <v>5</v>
      </c>
      <c r="H6" s="6" t="n">
        <v>5</v>
      </c>
      <c r="I6" s="6" t="n">
        <v>5</v>
      </c>
      <c r="J6" s="6" t="n">
        <v>5</v>
      </c>
      <c r="K6" s="6" t="n">
        <v>5</v>
      </c>
      <c r="L6" s="6" t="n">
        <v>5</v>
      </c>
      <c r="M6" s="6" t="n">
        <v>5</v>
      </c>
      <c r="N6" s="6" t="n">
        <v>5</v>
      </c>
      <c r="O6" s="6" t="n">
        <v>4</v>
      </c>
      <c r="P6" s="6" t="n">
        <v>4</v>
      </c>
      <c r="Q6" s="6" t="n">
        <v>5</v>
      </c>
      <c r="R6" s="6" t="n">
        <v>4</v>
      </c>
      <c r="S6" s="6" t="n">
        <v>5</v>
      </c>
      <c r="T6" s="6" t="n">
        <v>5</v>
      </c>
    </row>
    <row r="7" ht="20" customHeight="1">
      <c r="A7" s="9" t="inlineStr">
        <is>
          <t>EXP-06</t>
        </is>
      </c>
      <c r="B7" s="10" t="inlineStr">
        <is>
          <t>Clark Von Cabural</t>
        </is>
      </c>
      <c r="C7" s="10" t="inlineStr">
        <is>
          <t>IT Security Operations Analyst</t>
        </is>
      </c>
      <c r="D7" s="9" t="n">
        <v>7</v>
      </c>
      <c r="E7" s="9" t="inlineStr">
        <is>
          <t>2026-10-12</t>
        </is>
      </c>
      <c r="F7" s="11" t="n">
        <v>5</v>
      </c>
      <c r="G7" s="11" t="n">
        <v>4</v>
      </c>
      <c r="H7" s="11" t="n">
        <v>5</v>
      </c>
      <c r="I7" s="11" t="n">
        <v>4</v>
      </c>
      <c r="J7" s="11" t="n">
        <v>4</v>
      </c>
      <c r="K7" s="11" t="n">
        <v>5</v>
      </c>
      <c r="L7" s="11" t="n">
        <v>4</v>
      </c>
      <c r="M7" s="11" t="n">
        <v>5</v>
      </c>
      <c r="N7" s="11" t="n">
        <v>4</v>
      </c>
      <c r="O7" s="11" t="n">
        <v>4</v>
      </c>
      <c r="P7" s="11" t="n">
        <v>4</v>
      </c>
      <c r="Q7" s="9" t="n"/>
      <c r="R7" s="9" t="n"/>
      <c r="S7" s="11" t="n">
        <v>5</v>
      </c>
      <c r="T7" s="11" t="n">
        <v>5</v>
      </c>
    </row>
    <row r="8" ht="20" customHeight="1">
      <c r="A8" s="4" t="inlineStr">
        <is>
          <t>EXP-07</t>
        </is>
      </c>
      <c r="B8" s="5" t="inlineStr">
        <is>
          <t>Fe Antonio</t>
        </is>
      </c>
      <c r="C8" s="5" t="inlineStr">
        <is>
          <t>IT Professor</t>
        </is>
      </c>
      <c r="D8" s="4" t="n">
        <v>2</v>
      </c>
      <c r="E8" s="4" t="inlineStr">
        <is>
          <t>2026-10-09</t>
        </is>
      </c>
      <c r="F8" s="6" t="n">
        <v>5</v>
      </c>
      <c r="G8" s="6" t="n">
        <v>5</v>
      </c>
      <c r="H8" s="6" t="n">
        <v>5</v>
      </c>
      <c r="I8" s="6" t="n">
        <v>5</v>
      </c>
      <c r="J8" s="6" t="n">
        <v>5</v>
      </c>
      <c r="K8" s="6" t="n">
        <v>5</v>
      </c>
      <c r="L8" s="6" t="n">
        <v>5</v>
      </c>
      <c r="M8" s="6" t="n">
        <v>5</v>
      </c>
      <c r="N8" s="6" t="n">
        <v>5</v>
      </c>
      <c r="O8" s="6" t="n">
        <v>5</v>
      </c>
      <c r="P8" s="6" t="n">
        <v>5</v>
      </c>
      <c r="Q8" s="6" t="n">
        <v>5</v>
      </c>
      <c r="R8" s="6" t="n">
        <v>5</v>
      </c>
      <c r="S8" s="6" t="n">
        <v>5</v>
      </c>
      <c r="T8" s="6" t="n">
        <v>5</v>
      </c>
    </row>
    <row r="9" ht="20" customHeight="1">
      <c r="A9" s="9" t="inlineStr">
        <is>
          <t>EXP-08</t>
        </is>
      </c>
      <c r="B9" s="10" t="inlineStr">
        <is>
          <t>Homer Favenir</t>
        </is>
      </c>
      <c r="C9" s="10" t="inlineStr">
        <is>
          <t>Software Engineer</t>
        </is>
      </c>
      <c r="D9" s="9" t="n">
        <v>5</v>
      </c>
      <c r="E9" s="9" t="inlineStr">
        <is>
          <t>2026-10-12</t>
        </is>
      </c>
      <c r="F9" s="11" t="n">
        <v>5</v>
      </c>
      <c r="G9" s="11" t="n">
        <v>4</v>
      </c>
      <c r="H9" s="11" t="n">
        <v>5</v>
      </c>
      <c r="I9" s="11" t="n">
        <v>4</v>
      </c>
      <c r="J9" s="11" t="n">
        <v>5</v>
      </c>
      <c r="K9" s="11" t="n">
        <v>5</v>
      </c>
      <c r="L9" s="11" t="n">
        <v>4</v>
      </c>
      <c r="M9" s="11" t="n">
        <v>5</v>
      </c>
      <c r="N9" s="11" t="n">
        <v>4</v>
      </c>
      <c r="O9" s="11" t="n">
        <v>5</v>
      </c>
      <c r="P9" s="11" t="n">
        <v>4</v>
      </c>
      <c r="Q9" s="11" t="n">
        <v>5</v>
      </c>
      <c r="R9" s="11" t="n">
        <v>4</v>
      </c>
      <c r="S9" s="11" t="n">
        <v>4</v>
      </c>
      <c r="T9" s="11" t="n">
        <v>5</v>
      </c>
    </row>
    <row r="10" ht="20" customHeight="1">
      <c r="A10" s="4" t="inlineStr">
        <is>
          <t>EXP-09</t>
        </is>
      </c>
      <c r="B10" s="5" t="inlineStr">
        <is>
          <t>Patrick G Gonzales</t>
        </is>
      </c>
      <c r="C10" s="5" t="inlineStr">
        <is>
          <t>Game Tester</t>
        </is>
      </c>
      <c r="D10" s="4" t="n">
        <v>2</v>
      </c>
      <c r="E10" s="4" t="inlineStr">
        <is>
          <t>2026-10-08</t>
        </is>
      </c>
      <c r="F10" s="6" t="n">
        <v>5</v>
      </c>
      <c r="G10" s="6" t="n">
        <v>5</v>
      </c>
      <c r="H10" s="6" t="n">
        <v>5</v>
      </c>
      <c r="I10" s="6" t="n">
        <v>4</v>
      </c>
      <c r="J10" s="6" t="n">
        <v>5</v>
      </c>
      <c r="K10" s="6" t="n">
        <v>4</v>
      </c>
      <c r="L10" s="6" t="n">
        <v>5</v>
      </c>
      <c r="M10" s="6" t="n">
        <v>5</v>
      </c>
      <c r="N10" s="6" t="n">
        <v>4</v>
      </c>
      <c r="O10" s="6" t="n">
        <v>5</v>
      </c>
      <c r="P10" s="6" t="n">
        <v>5</v>
      </c>
      <c r="Q10" s="6" t="n">
        <v>5</v>
      </c>
      <c r="R10" s="6" t="n">
        <v>5</v>
      </c>
      <c r="S10" s="6" t="n">
        <v>5</v>
      </c>
      <c r="T10" s="6" t="n">
        <v>4</v>
      </c>
    </row>
    <row r="11" ht="20" customHeight="1">
      <c r="A11" s="9" t="inlineStr">
        <is>
          <t>EXP-10</t>
        </is>
      </c>
      <c r="B11" s="10" t="inlineStr">
        <is>
          <t>Roberto Malitao</t>
        </is>
      </c>
      <c r="C11" s="10" t="inlineStr">
        <is>
          <t>IT Consultant</t>
        </is>
      </c>
      <c r="D11" s="9" t="n">
        <v>3</v>
      </c>
      <c r="E11" s="9" t="inlineStr">
        <is>
          <t>2026-10-08</t>
        </is>
      </c>
      <c r="F11" s="11" t="n">
        <v>4</v>
      </c>
      <c r="G11" s="11" t="n">
        <v>4</v>
      </c>
      <c r="H11" s="11" t="n">
        <v>4</v>
      </c>
      <c r="I11" s="11" t="n">
        <v>4</v>
      </c>
      <c r="J11" s="11" t="n">
        <v>4</v>
      </c>
      <c r="K11" s="11" t="n">
        <v>4</v>
      </c>
      <c r="L11" s="11" t="n">
        <v>4</v>
      </c>
      <c r="M11" s="11" t="n">
        <v>4</v>
      </c>
      <c r="N11" s="11" t="n">
        <v>4</v>
      </c>
      <c r="O11" s="11" t="n">
        <v>4</v>
      </c>
      <c r="P11" s="11" t="n">
        <v>4</v>
      </c>
      <c r="Q11" s="11" t="n">
        <v>4</v>
      </c>
      <c r="R11" s="11" t="n">
        <v>4</v>
      </c>
      <c r="S11" s="11" t="n">
        <v>4</v>
      </c>
      <c r="T11" s="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2026-10-28T03:40:56Z</dcterms:created>
  <dcterms:modified xmlns:dcterms="http://purl.org/dc/terms/" xmlns:xsi="http://www.w3.org/2001/XMLSchema-instance" xsi:type="dcterms:W3CDTF">2026-10-28T05:23:33Z</dcterms:modified>
</cp:coreProperties>
</file>